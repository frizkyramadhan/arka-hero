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D:\RIZKY ROSDIANA\GA\CONSUMABLE &amp; ATK\ATK STOCK\2026\"/>
    </mc:Choice>
  </mc:AlternateContent>
  <xr:revisionPtr revIDLastSave="0" documentId="13_ncr:1_{36527E85-12BE-4D38-9247-BEAFFB36829C}" xr6:coauthVersionLast="47" xr6:coauthVersionMax="47" xr10:uidLastSave="{00000000-0000-0000-0000-000000000000}"/>
  <bookViews>
    <workbookView xWindow="390" yWindow="15" windowWidth="17805" windowHeight="15465" xr2:uid="{00000000-000D-0000-FFFF-FFFF00000000}"/>
  </bookViews>
  <sheets>
    <sheet name="Katalog" sheetId="1" r:id="rId1"/>
    <sheet name="Masuk" sheetId="2" r:id="rId2"/>
    <sheet name="Keluar" sheetId="3" r:id="rId3"/>
  </sheets>
  <definedNames>
    <definedName name="_xlnm.Print_Area" localSheetId="0">Katalog!$A$1:$G$165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7" i="3" l="1"/>
  <c r="D197" i="3"/>
  <c r="C186" i="3"/>
  <c r="D186" i="3"/>
  <c r="C181" i="3"/>
  <c r="D181" i="3"/>
  <c r="C175" i="3"/>
  <c r="D175" i="3"/>
  <c r="C173" i="3"/>
  <c r="D173" i="3"/>
  <c r="C171" i="3"/>
  <c r="D171" i="3"/>
  <c r="C172" i="3"/>
  <c r="D172" i="3"/>
  <c r="C174" i="3"/>
  <c r="D174" i="3"/>
  <c r="C176" i="3"/>
  <c r="D176" i="3"/>
  <c r="C177" i="3"/>
  <c r="D177" i="3"/>
  <c r="C178" i="3"/>
  <c r="D178" i="3"/>
  <c r="C179" i="3"/>
  <c r="D179" i="3"/>
  <c r="C180" i="3"/>
  <c r="D180" i="3"/>
  <c r="C182" i="3"/>
  <c r="D182" i="3"/>
  <c r="C183" i="3"/>
  <c r="D183" i="3"/>
  <c r="C184" i="3"/>
  <c r="D184" i="3"/>
  <c r="C185" i="3"/>
  <c r="D185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8" i="3"/>
  <c r="D198" i="3"/>
  <c r="C199" i="3"/>
  <c r="D199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C55" i="2"/>
  <c r="L169" i="3"/>
  <c r="L168" i="3"/>
  <c r="L165" i="3"/>
  <c r="E7" i="1" l="1"/>
  <c r="L167" i="3" l="1"/>
  <c r="L166" i="3"/>
  <c r="L164" i="3"/>
  <c r="L163" i="3"/>
  <c r="L162" i="3"/>
  <c r="L161" i="3"/>
  <c r="L160" i="3"/>
  <c r="L159" i="3"/>
  <c r="L151" i="3"/>
  <c r="K151" i="3"/>
  <c r="L150" i="3"/>
  <c r="K150" i="3"/>
  <c r="L149" i="3"/>
  <c r="K149" i="3"/>
  <c r="L148" i="3"/>
  <c r="K148" i="3"/>
  <c r="L147" i="3"/>
  <c r="K147" i="3"/>
  <c r="L146" i="3"/>
  <c r="K146" i="3"/>
  <c r="L145" i="3"/>
  <c r="K145" i="3"/>
  <c r="L144" i="3"/>
  <c r="K144" i="3"/>
  <c r="L143" i="3"/>
  <c r="K143" i="3"/>
  <c r="L142" i="3"/>
  <c r="K142" i="3"/>
  <c r="L141" i="3"/>
  <c r="K141" i="3"/>
  <c r="L140" i="3"/>
  <c r="K140" i="3"/>
  <c r="L139" i="3"/>
  <c r="K139" i="3"/>
  <c r="L138" i="3"/>
  <c r="K138" i="3"/>
  <c r="L137" i="3"/>
  <c r="K137" i="3"/>
  <c r="L136" i="3"/>
  <c r="K136" i="3"/>
  <c r="L135" i="3"/>
  <c r="K135" i="3"/>
  <c r="L134" i="3"/>
  <c r="K134" i="3"/>
  <c r="L133" i="3"/>
  <c r="K133" i="3"/>
  <c r="L132" i="3"/>
  <c r="K132" i="3"/>
  <c r="L131" i="3"/>
  <c r="K131" i="3"/>
  <c r="L130" i="3"/>
  <c r="K130" i="3"/>
  <c r="L129" i="3"/>
  <c r="K129" i="3"/>
  <c r="L128" i="3"/>
  <c r="K128" i="3"/>
  <c r="L127" i="3"/>
  <c r="K127" i="3"/>
  <c r="L126" i="3"/>
  <c r="K126" i="3"/>
  <c r="L125" i="3"/>
  <c r="K125" i="3"/>
  <c r="L124" i="3"/>
  <c r="K124" i="3"/>
  <c r="L123" i="3"/>
  <c r="K123" i="3"/>
  <c r="L122" i="3"/>
  <c r="K122" i="3"/>
  <c r="L121" i="3"/>
  <c r="K121" i="3"/>
  <c r="L120" i="3"/>
  <c r="K120" i="3"/>
  <c r="L119" i="3"/>
  <c r="K119" i="3"/>
  <c r="L118" i="3"/>
  <c r="K118" i="3"/>
  <c r="L117" i="3"/>
  <c r="K117" i="3"/>
  <c r="L116" i="3"/>
  <c r="K116" i="3"/>
  <c r="L115" i="3"/>
  <c r="K115" i="3"/>
  <c r="L114" i="3"/>
  <c r="K114" i="3"/>
  <c r="L113" i="3"/>
  <c r="K113" i="3"/>
  <c r="L112" i="3"/>
  <c r="K112" i="3"/>
  <c r="L111" i="3"/>
  <c r="K111" i="3"/>
  <c r="L110" i="3"/>
  <c r="K110" i="3"/>
  <c r="L109" i="3"/>
  <c r="K109" i="3"/>
  <c r="L108" i="3"/>
  <c r="K108" i="3"/>
  <c r="L107" i="3"/>
  <c r="K107" i="3"/>
  <c r="L106" i="3"/>
  <c r="K106" i="3"/>
  <c r="L105" i="3"/>
  <c r="K105" i="3"/>
  <c r="L104" i="3"/>
  <c r="K104" i="3"/>
  <c r="L103" i="3"/>
  <c r="K103" i="3"/>
  <c r="L102" i="3"/>
  <c r="K102" i="3"/>
  <c r="L101" i="3"/>
  <c r="K101" i="3"/>
  <c r="L100" i="3"/>
  <c r="K100" i="3"/>
  <c r="L99" i="3"/>
  <c r="K99" i="3"/>
  <c r="L98" i="3"/>
  <c r="K98" i="3"/>
  <c r="L97" i="3"/>
  <c r="K97" i="3"/>
  <c r="L96" i="3"/>
  <c r="K96" i="3"/>
  <c r="L95" i="3"/>
  <c r="K95" i="3"/>
  <c r="L94" i="3"/>
  <c r="K94" i="3"/>
  <c r="L93" i="3"/>
  <c r="K93" i="3"/>
  <c r="L92" i="3"/>
  <c r="K92" i="3"/>
  <c r="L91" i="3"/>
  <c r="K91" i="3"/>
  <c r="L90" i="3"/>
  <c r="K90" i="3"/>
  <c r="L89" i="3"/>
  <c r="K89" i="3"/>
  <c r="L88" i="3"/>
  <c r="K88" i="3"/>
  <c r="L87" i="3"/>
  <c r="K87" i="3"/>
  <c r="L86" i="3"/>
  <c r="K86" i="3"/>
  <c r="L85" i="3"/>
  <c r="K85" i="3"/>
  <c r="L84" i="3"/>
  <c r="K84" i="3"/>
  <c r="L83" i="3"/>
  <c r="K83" i="3"/>
  <c r="L82" i="3"/>
  <c r="K82" i="3"/>
  <c r="L81" i="3"/>
  <c r="K81" i="3"/>
  <c r="L80" i="3"/>
  <c r="K80" i="3"/>
  <c r="L79" i="3"/>
  <c r="K79" i="3"/>
  <c r="L78" i="3"/>
  <c r="K78" i="3"/>
  <c r="L77" i="3"/>
  <c r="K77" i="3"/>
  <c r="L76" i="3"/>
  <c r="K76" i="3"/>
  <c r="L75" i="3"/>
  <c r="K75" i="3"/>
  <c r="L74" i="3"/>
  <c r="K74" i="3"/>
  <c r="L73" i="3"/>
  <c r="K73" i="3"/>
  <c r="L72" i="3"/>
  <c r="K72" i="3"/>
  <c r="L71" i="3"/>
  <c r="K71" i="3"/>
  <c r="L70" i="3"/>
  <c r="K70" i="3"/>
  <c r="L69" i="3"/>
  <c r="K69" i="3"/>
  <c r="L68" i="3"/>
  <c r="K68" i="3"/>
  <c r="L67" i="3"/>
  <c r="K67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6" i="3"/>
  <c r="K56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7" i="3"/>
  <c r="K47" i="3"/>
  <c r="L46" i="3"/>
  <c r="K46" i="3"/>
  <c r="L45" i="3"/>
  <c r="K45" i="3"/>
  <c r="L44" i="3"/>
  <c r="K44" i="3"/>
  <c r="L43" i="3"/>
  <c r="K43" i="3"/>
  <c r="L42" i="3"/>
  <c r="K42" i="3"/>
  <c r="L41" i="3"/>
  <c r="K41" i="3"/>
  <c r="L40" i="3"/>
  <c r="K40" i="3"/>
  <c r="L39" i="3"/>
  <c r="K39" i="3"/>
  <c r="L38" i="3"/>
  <c r="K38" i="3"/>
  <c r="L37" i="3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J152" i="2"/>
  <c r="I152" i="2"/>
  <c r="D152" i="2"/>
  <c r="C152" i="2"/>
  <c r="J151" i="2"/>
  <c r="I151" i="2"/>
  <c r="D151" i="2"/>
  <c r="C151" i="2"/>
  <c r="J150" i="2"/>
  <c r="I150" i="2"/>
  <c r="D150" i="2"/>
  <c r="C150" i="2"/>
  <c r="J149" i="2"/>
  <c r="I149" i="2"/>
  <c r="D149" i="2"/>
  <c r="C149" i="2"/>
  <c r="J148" i="2"/>
  <c r="I148" i="2"/>
  <c r="D148" i="2"/>
  <c r="C148" i="2"/>
  <c r="J147" i="2"/>
  <c r="I147" i="2"/>
  <c r="D147" i="2"/>
  <c r="C147" i="2"/>
  <c r="J146" i="2"/>
  <c r="I146" i="2"/>
  <c r="D146" i="2"/>
  <c r="C146" i="2"/>
  <c r="J145" i="2"/>
  <c r="I145" i="2"/>
  <c r="D145" i="2"/>
  <c r="C145" i="2"/>
  <c r="J144" i="2"/>
  <c r="I144" i="2"/>
  <c r="D144" i="2"/>
  <c r="C144" i="2"/>
  <c r="J143" i="2"/>
  <c r="I143" i="2"/>
  <c r="D143" i="2"/>
  <c r="C143" i="2"/>
  <c r="J142" i="2"/>
  <c r="I142" i="2"/>
  <c r="D142" i="2"/>
  <c r="C142" i="2"/>
  <c r="J141" i="2"/>
  <c r="I141" i="2"/>
  <c r="D141" i="2"/>
  <c r="C141" i="2"/>
  <c r="J140" i="2"/>
  <c r="I140" i="2"/>
  <c r="D140" i="2"/>
  <c r="C140" i="2"/>
  <c r="J139" i="2"/>
  <c r="I139" i="2"/>
  <c r="D139" i="2"/>
  <c r="C139" i="2"/>
  <c r="J138" i="2"/>
  <c r="I138" i="2"/>
  <c r="D138" i="2"/>
  <c r="C138" i="2"/>
  <c r="J137" i="2"/>
  <c r="I137" i="2"/>
  <c r="D137" i="2"/>
  <c r="C137" i="2"/>
  <c r="J136" i="2"/>
  <c r="I136" i="2"/>
  <c r="D136" i="2"/>
  <c r="C136" i="2"/>
  <c r="J135" i="2"/>
  <c r="I135" i="2"/>
  <c r="D135" i="2"/>
  <c r="C135" i="2"/>
  <c r="J134" i="2"/>
  <c r="I134" i="2"/>
  <c r="D134" i="2"/>
  <c r="C134" i="2"/>
  <c r="J133" i="2"/>
  <c r="I133" i="2"/>
  <c r="D133" i="2"/>
  <c r="C133" i="2"/>
  <c r="J132" i="2"/>
  <c r="I132" i="2"/>
  <c r="D132" i="2"/>
  <c r="C132" i="2"/>
  <c r="J131" i="2"/>
  <c r="I131" i="2"/>
  <c r="D131" i="2"/>
  <c r="C131" i="2"/>
  <c r="J130" i="2"/>
  <c r="I130" i="2"/>
  <c r="D130" i="2"/>
  <c r="C130" i="2"/>
  <c r="J129" i="2"/>
  <c r="I129" i="2"/>
  <c r="D129" i="2"/>
  <c r="C129" i="2"/>
  <c r="J128" i="2"/>
  <c r="I128" i="2"/>
  <c r="D128" i="2"/>
  <c r="C128" i="2"/>
  <c r="J127" i="2"/>
  <c r="I127" i="2"/>
  <c r="D127" i="2"/>
  <c r="C127" i="2"/>
  <c r="J126" i="2"/>
  <c r="I126" i="2"/>
  <c r="D126" i="2"/>
  <c r="C126" i="2"/>
  <c r="J125" i="2"/>
  <c r="I125" i="2"/>
  <c r="D125" i="2"/>
  <c r="C125" i="2"/>
  <c r="J124" i="2"/>
  <c r="I124" i="2"/>
  <c r="D124" i="2"/>
  <c r="C124" i="2"/>
  <c r="J123" i="2"/>
  <c r="I123" i="2"/>
  <c r="D123" i="2"/>
  <c r="C123" i="2"/>
  <c r="J122" i="2"/>
  <c r="I122" i="2"/>
  <c r="D122" i="2"/>
  <c r="C122" i="2"/>
  <c r="J121" i="2"/>
  <c r="I121" i="2"/>
  <c r="D121" i="2"/>
  <c r="C121" i="2"/>
  <c r="J120" i="2"/>
  <c r="I120" i="2"/>
  <c r="D120" i="2"/>
  <c r="C120" i="2"/>
  <c r="J119" i="2"/>
  <c r="I119" i="2"/>
  <c r="D119" i="2"/>
  <c r="C119" i="2"/>
  <c r="J118" i="2"/>
  <c r="I118" i="2"/>
  <c r="D118" i="2"/>
  <c r="C118" i="2"/>
  <c r="J117" i="2"/>
  <c r="I117" i="2"/>
  <c r="D117" i="2"/>
  <c r="C117" i="2"/>
  <c r="J116" i="2"/>
  <c r="I116" i="2"/>
  <c r="D116" i="2"/>
  <c r="C116" i="2"/>
  <c r="J115" i="2"/>
  <c r="I115" i="2"/>
  <c r="D115" i="2"/>
  <c r="C115" i="2"/>
  <c r="J114" i="2"/>
  <c r="I114" i="2"/>
  <c r="D114" i="2"/>
  <c r="C114" i="2"/>
  <c r="J113" i="2"/>
  <c r="I113" i="2"/>
  <c r="D113" i="2"/>
  <c r="C113" i="2"/>
  <c r="J112" i="2"/>
  <c r="I112" i="2"/>
  <c r="D112" i="2"/>
  <c r="C112" i="2"/>
  <c r="J111" i="2"/>
  <c r="I111" i="2"/>
  <c r="D111" i="2"/>
  <c r="C111" i="2"/>
  <c r="J110" i="2"/>
  <c r="I110" i="2"/>
  <c r="D110" i="2"/>
  <c r="C110" i="2"/>
  <c r="J109" i="2"/>
  <c r="I109" i="2"/>
  <c r="D109" i="2"/>
  <c r="C109" i="2"/>
  <c r="J108" i="2"/>
  <c r="I108" i="2"/>
  <c r="D108" i="2"/>
  <c r="C108" i="2"/>
  <c r="J107" i="2"/>
  <c r="I107" i="2"/>
  <c r="D107" i="2"/>
  <c r="C107" i="2"/>
  <c r="J106" i="2"/>
  <c r="I106" i="2"/>
  <c r="D106" i="2"/>
  <c r="C106" i="2"/>
  <c r="J105" i="2"/>
  <c r="I105" i="2"/>
  <c r="D105" i="2"/>
  <c r="C105" i="2"/>
  <c r="J104" i="2"/>
  <c r="I104" i="2"/>
  <c r="D104" i="2"/>
  <c r="C104" i="2"/>
  <c r="J103" i="2"/>
  <c r="I103" i="2"/>
  <c r="D103" i="2"/>
  <c r="C103" i="2"/>
  <c r="J102" i="2"/>
  <c r="I102" i="2"/>
  <c r="D102" i="2"/>
  <c r="C102" i="2"/>
  <c r="J101" i="2"/>
  <c r="I101" i="2"/>
  <c r="D101" i="2"/>
  <c r="C101" i="2"/>
  <c r="J100" i="2"/>
  <c r="I100" i="2"/>
  <c r="D100" i="2"/>
  <c r="C100" i="2"/>
  <c r="J99" i="2"/>
  <c r="I99" i="2"/>
  <c r="D99" i="2"/>
  <c r="C99" i="2"/>
  <c r="J98" i="2"/>
  <c r="I98" i="2"/>
  <c r="D98" i="2"/>
  <c r="C98" i="2"/>
  <c r="J97" i="2"/>
  <c r="I97" i="2"/>
  <c r="D97" i="2"/>
  <c r="C97" i="2"/>
  <c r="J96" i="2"/>
  <c r="I96" i="2"/>
  <c r="D96" i="2"/>
  <c r="C96" i="2"/>
  <c r="J95" i="2"/>
  <c r="I95" i="2"/>
  <c r="D95" i="2"/>
  <c r="C95" i="2"/>
  <c r="J94" i="2"/>
  <c r="I94" i="2"/>
  <c r="D94" i="2"/>
  <c r="C94" i="2"/>
  <c r="J93" i="2"/>
  <c r="I93" i="2"/>
  <c r="D93" i="2"/>
  <c r="C93" i="2"/>
  <c r="J92" i="2"/>
  <c r="I92" i="2"/>
  <c r="D92" i="2"/>
  <c r="C92" i="2"/>
  <c r="J91" i="2"/>
  <c r="I91" i="2"/>
  <c r="D91" i="2"/>
  <c r="C91" i="2"/>
  <c r="J90" i="2"/>
  <c r="I90" i="2"/>
  <c r="D90" i="2"/>
  <c r="C90" i="2"/>
  <c r="J89" i="2"/>
  <c r="I89" i="2"/>
  <c r="D89" i="2"/>
  <c r="C89" i="2"/>
  <c r="J88" i="2"/>
  <c r="I88" i="2"/>
  <c r="D88" i="2"/>
  <c r="C88" i="2"/>
  <c r="J87" i="2"/>
  <c r="I87" i="2"/>
  <c r="D87" i="2"/>
  <c r="C87" i="2"/>
  <c r="J86" i="2"/>
  <c r="I86" i="2"/>
  <c r="D86" i="2"/>
  <c r="C86" i="2"/>
  <c r="J85" i="2"/>
  <c r="I85" i="2"/>
  <c r="D85" i="2"/>
  <c r="C85" i="2"/>
  <c r="J84" i="2"/>
  <c r="I84" i="2"/>
  <c r="D84" i="2"/>
  <c r="C84" i="2"/>
  <c r="J83" i="2"/>
  <c r="I83" i="2"/>
  <c r="D83" i="2"/>
  <c r="C83" i="2"/>
  <c r="J82" i="2"/>
  <c r="I82" i="2"/>
  <c r="D82" i="2"/>
  <c r="C82" i="2"/>
  <c r="J81" i="2"/>
  <c r="I81" i="2"/>
  <c r="D81" i="2"/>
  <c r="C81" i="2"/>
  <c r="J80" i="2"/>
  <c r="I80" i="2"/>
  <c r="D80" i="2"/>
  <c r="C80" i="2"/>
  <c r="J79" i="2"/>
  <c r="I79" i="2"/>
  <c r="D79" i="2"/>
  <c r="C79" i="2"/>
  <c r="J78" i="2"/>
  <c r="I78" i="2"/>
  <c r="D78" i="2"/>
  <c r="C78" i="2"/>
  <c r="J77" i="2"/>
  <c r="I77" i="2"/>
  <c r="D77" i="2"/>
  <c r="C77" i="2"/>
  <c r="J76" i="2"/>
  <c r="I76" i="2"/>
  <c r="D76" i="2"/>
  <c r="C76" i="2"/>
  <c r="J75" i="2"/>
  <c r="I75" i="2"/>
  <c r="D75" i="2"/>
  <c r="C75" i="2"/>
  <c r="J74" i="2"/>
  <c r="I74" i="2"/>
  <c r="D74" i="2"/>
  <c r="C74" i="2"/>
  <c r="J73" i="2"/>
  <c r="I73" i="2"/>
  <c r="D73" i="2"/>
  <c r="C73" i="2"/>
  <c r="J72" i="2"/>
  <c r="I72" i="2"/>
  <c r="D72" i="2"/>
  <c r="C72" i="2"/>
  <c r="J71" i="2"/>
  <c r="I71" i="2"/>
  <c r="D71" i="2"/>
  <c r="C71" i="2"/>
  <c r="J70" i="2"/>
  <c r="I70" i="2"/>
  <c r="D70" i="2"/>
  <c r="C70" i="2"/>
  <c r="J69" i="2"/>
  <c r="I69" i="2"/>
  <c r="D69" i="2"/>
  <c r="C69" i="2"/>
  <c r="J68" i="2"/>
  <c r="I68" i="2"/>
  <c r="D68" i="2"/>
  <c r="C68" i="2"/>
  <c r="J67" i="2"/>
  <c r="I67" i="2"/>
  <c r="D67" i="2"/>
  <c r="C67" i="2"/>
  <c r="J66" i="2"/>
  <c r="I66" i="2"/>
  <c r="D66" i="2"/>
  <c r="C66" i="2"/>
  <c r="J65" i="2"/>
  <c r="I65" i="2"/>
  <c r="D65" i="2"/>
  <c r="C65" i="2"/>
  <c r="J64" i="2"/>
  <c r="I64" i="2"/>
  <c r="D64" i="2"/>
  <c r="C64" i="2"/>
  <c r="J63" i="2"/>
  <c r="I63" i="2"/>
  <c r="D63" i="2"/>
  <c r="C63" i="2"/>
  <c r="J62" i="2"/>
  <c r="I62" i="2"/>
  <c r="D62" i="2"/>
  <c r="C62" i="2"/>
  <c r="J61" i="2"/>
  <c r="I61" i="2"/>
  <c r="D61" i="2"/>
  <c r="C61" i="2"/>
  <c r="J60" i="2"/>
  <c r="I60" i="2"/>
  <c r="D60" i="2"/>
  <c r="C60" i="2"/>
  <c r="J59" i="2"/>
  <c r="I59" i="2"/>
  <c r="D59" i="2"/>
  <c r="C59" i="2"/>
  <c r="J58" i="2"/>
  <c r="I58" i="2"/>
  <c r="D58" i="2"/>
  <c r="C58" i="2"/>
  <c r="J57" i="2"/>
  <c r="I57" i="2"/>
  <c r="D57" i="2"/>
  <c r="C57" i="2"/>
  <c r="J56" i="2"/>
  <c r="I56" i="2"/>
  <c r="D56" i="2"/>
  <c r="C56" i="2"/>
  <c r="J55" i="2"/>
  <c r="I55" i="2"/>
  <c r="D55" i="2"/>
  <c r="J54" i="2"/>
  <c r="I54" i="2"/>
  <c r="D54" i="2"/>
  <c r="C54" i="2"/>
  <c r="J53" i="2"/>
  <c r="I53" i="2"/>
  <c r="D53" i="2"/>
  <c r="C53" i="2"/>
  <c r="J52" i="2"/>
  <c r="I52" i="2"/>
  <c r="D52" i="2"/>
  <c r="C52" i="2"/>
  <c r="J51" i="2"/>
  <c r="I51" i="2"/>
  <c r="D51" i="2"/>
  <c r="C51" i="2"/>
  <c r="J50" i="2"/>
  <c r="I50" i="2"/>
  <c r="D50" i="2"/>
  <c r="C50" i="2"/>
  <c r="J49" i="2"/>
  <c r="I49" i="2"/>
  <c r="D49" i="2"/>
  <c r="C49" i="2"/>
  <c r="J48" i="2"/>
  <c r="I48" i="2"/>
  <c r="D48" i="2"/>
  <c r="C48" i="2"/>
  <c r="J47" i="2"/>
  <c r="I47" i="2"/>
  <c r="D47" i="2"/>
  <c r="C47" i="2"/>
  <c r="J46" i="2"/>
  <c r="I46" i="2"/>
  <c r="D46" i="2"/>
  <c r="C46" i="2"/>
  <c r="J45" i="2"/>
  <c r="I45" i="2"/>
  <c r="D45" i="2"/>
  <c r="C45" i="2"/>
  <c r="J44" i="2"/>
  <c r="I44" i="2"/>
  <c r="D44" i="2"/>
  <c r="C44" i="2"/>
  <c r="J43" i="2"/>
  <c r="I43" i="2"/>
  <c r="D43" i="2"/>
  <c r="C43" i="2"/>
  <c r="J42" i="2"/>
  <c r="I42" i="2"/>
  <c r="D42" i="2"/>
  <c r="C42" i="2"/>
  <c r="J41" i="2"/>
  <c r="I41" i="2"/>
  <c r="D41" i="2"/>
  <c r="C41" i="2"/>
  <c r="J40" i="2"/>
  <c r="I40" i="2"/>
  <c r="D40" i="2"/>
  <c r="C40" i="2"/>
  <c r="J39" i="2"/>
  <c r="I39" i="2"/>
  <c r="D39" i="2"/>
  <c r="C39" i="2"/>
  <c r="J38" i="2"/>
  <c r="I38" i="2"/>
  <c r="D38" i="2"/>
  <c r="C38" i="2"/>
  <c r="J37" i="2"/>
  <c r="I37" i="2"/>
  <c r="D37" i="2"/>
  <c r="C37" i="2"/>
  <c r="J36" i="2"/>
  <c r="I36" i="2"/>
  <c r="D36" i="2"/>
  <c r="C36" i="2"/>
  <c r="J35" i="2"/>
  <c r="I35" i="2"/>
  <c r="D35" i="2"/>
  <c r="C35" i="2"/>
  <c r="J34" i="2"/>
  <c r="I34" i="2"/>
  <c r="D34" i="2"/>
  <c r="C34" i="2"/>
  <c r="J33" i="2"/>
  <c r="I33" i="2"/>
  <c r="D33" i="2"/>
  <c r="C33" i="2"/>
  <c r="J32" i="2"/>
  <c r="I32" i="2"/>
  <c r="D32" i="2"/>
  <c r="C32" i="2"/>
  <c r="J31" i="2"/>
  <c r="I31" i="2"/>
  <c r="D31" i="2"/>
  <c r="C31" i="2"/>
  <c r="J30" i="2"/>
  <c r="I30" i="2"/>
  <c r="D30" i="2"/>
  <c r="C30" i="2"/>
  <c r="J29" i="2"/>
  <c r="I29" i="2"/>
  <c r="D29" i="2"/>
  <c r="C29" i="2"/>
  <c r="J28" i="2"/>
  <c r="I28" i="2"/>
  <c r="D28" i="2"/>
  <c r="C28" i="2"/>
  <c r="J27" i="2"/>
  <c r="I27" i="2"/>
  <c r="D27" i="2"/>
  <c r="C27" i="2"/>
  <c r="J26" i="2"/>
  <c r="I26" i="2"/>
  <c r="D26" i="2"/>
  <c r="C26" i="2"/>
  <c r="J25" i="2"/>
  <c r="I25" i="2"/>
  <c r="D25" i="2"/>
  <c r="C25" i="2"/>
  <c r="J24" i="2"/>
  <c r="I24" i="2"/>
  <c r="D24" i="2"/>
  <c r="C24" i="2"/>
  <c r="J23" i="2"/>
  <c r="I23" i="2"/>
  <c r="D23" i="2"/>
  <c r="C23" i="2"/>
  <c r="J22" i="2"/>
  <c r="I22" i="2"/>
  <c r="D22" i="2"/>
  <c r="C22" i="2"/>
  <c r="J21" i="2"/>
  <c r="I21" i="2"/>
  <c r="D21" i="2"/>
  <c r="C21" i="2"/>
  <c r="J20" i="2"/>
  <c r="I20" i="2"/>
  <c r="D20" i="2"/>
  <c r="C20" i="2"/>
  <c r="J19" i="2"/>
  <c r="I19" i="2"/>
  <c r="D19" i="2"/>
  <c r="C19" i="2"/>
  <c r="J18" i="2"/>
  <c r="I18" i="2"/>
  <c r="D18" i="2"/>
  <c r="C18" i="2"/>
  <c r="J17" i="2"/>
  <c r="I17" i="2"/>
  <c r="D17" i="2"/>
  <c r="C17" i="2"/>
  <c r="J16" i="2"/>
  <c r="I16" i="2"/>
  <c r="D16" i="2"/>
  <c r="C16" i="2"/>
  <c r="J15" i="2"/>
  <c r="I15" i="2"/>
  <c r="D15" i="2"/>
  <c r="C15" i="2"/>
  <c r="J14" i="2"/>
  <c r="I14" i="2"/>
  <c r="D14" i="2"/>
  <c r="C14" i="2"/>
  <c r="J13" i="2"/>
  <c r="I13" i="2"/>
  <c r="D13" i="2"/>
  <c r="C13" i="2"/>
  <c r="J12" i="2"/>
  <c r="I12" i="2"/>
  <c r="D12" i="2"/>
  <c r="C12" i="2"/>
  <c r="J11" i="2"/>
  <c r="I11" i="2"/>
  <c r="D11" i="2"/>
  <c r="C11" i="2"/>
  <c r="J10" i="2"/>
  <c r="I10" i="2"/>
  <c r="D10" i="2"/>
  <c r="C10" i="2"/>
  <c r="J9" i="2"/>
  <c r="I9" i="2"/>
  <c r="D9" i="2"/>
  <c r="C9" i="2"/>
  <c r="J8" i="2"/>
  <c r="I8" i="2"/>
  <c r="D8" i="2"/>
  <c r="C8" i="2"/>
  <c r="J7" i="2"/>
  <c r="I7" i="2"/>
  <c r="D7" i="2"/>
  <c r="C7" i="2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G7" i="1" s="1"/>
  <c r="G123" i="1" l="1"/>
  <c r="G125" i="1"/>
  <c r="G9" i="1"/>
  <c r="G11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8" i="1"/>
  <c r="G10" i="1"/>
  <c r="G12" i="1"/>
  <c r="G14" i="1"/>
  <c r="G16" i="1"/>
  <c r="G18" i="1"/>
  <c r="G20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ASISTEN GA</author>
  </authors>
  <commentList>
    <comment ref="C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ASISTEN GA:</t>
        </r>
        <r>
          <rPr>
            <sz val="8"/>
            <color indexed="81"/>
            <rFont val="Tahoma"/>
            <family val="2"/>
          </rPr>
          <t xml:space="preserve">
Kenko &amp; Combo</t>
        </r>
      </text>
    </comment>
  </commentList>
</comments>
</file>

<file path=xl/sharedStrings.xml><?xml version="1.0" encoding="utf-8"?>
<sst xmlns="http://schemas.openxmlformats.org/spreadsheetml/2006/main" count="1455" uniqueCount="473">
  <si>
    <t>Kode Barang</t>
  </si>
  <si>
    <t>Deskripsi Barang</t>
  </si>
  <si>
    <t>Awal</t>
  </si>
  <si>
    <t>Masuk</t>
  </si>
  <si>
    <t>Keluar</t>
  </si>
  <si>
    <t>Akhir</t>
  </si>
  <si>
    <t>Tanggal</t>
  </si>
  <si>
    <t>Jumlah Masuk</t>
  </si>
  <si>
    <t>Jumlah Keluar</t>
  </si>
  <si>
    <t>Deskripsi</t>
  </si>
  <si>
    <t>Jenis Barang</t>
  </si>
  <si>
    <t xml:space="preserve">Divisi </t>
  </si>
  <si>
    <t>: HO Balikpapan</t>
  </si>
  <si>
    <t>Lokasi</t>
  </si>
  <si>
    <t>PT. Arkananta Apta Pratista</t>
  </si>
  <si>
    <t>Lokasi Kebutuhan</t>
  </si>
  <si>
    <t>Penanggungjawab</t>
  </si>
  <si>
    <t>Total Keluar</t>
  </si>
  <si>
    <t>DATA PENGAMBIL</t>
  </si>
  <si>
    <t>Total Masuk</t>
  </si>
  <si>
    <t>GAA001</t>
  </si>
  <si>
    <t>GAA002</t>
  </si>
  <si>
    <t>GAA003</t>
  </si>
  <si>
    <t>GAA004</t>
  </si>
  <si>
    <t>GAA005</t>
  </si>
  <si>
    <t>GAA006</t>
  </si>
  <si>
    <t>GAA007</t>
  </si>
  <si>
    <t>GAA008</t>
  </si>
  <si>
    <t>GAA009</t>
  </si>
  <si>
    <t>GAA010</t>
  </si>
  <si>
    <t>GAA011</t>
  </si>
  <si>
    <t>GAA012</t>
  </si>
  <si>
    <t>GAA013</t>
  </si>
  <si>
    <t>GAA014</t>
  </si>
  <si>
    <t>GAA015</t>
  </si>
  <si>
    <t>GAA016</t>
  </si>
  <si>
    <t>GAA017</t>
  </si>
  <si>
    <t>GAA018</t>
  </si>
  <si>
    <t>GAA019</t>
  </si>
  <si>
    <t>GAA020</t>
  </si>
  <si>
    <t>GAA021</t>
  </si>
  <si>
    <t>GAA022</t>
  </si>
  <si>
    <t>GA ATK STOCK</t>
  </si>
  <si>
    <t xml:space="preserve">STOCK MASUK ATK GA </t>
  </si>
  <si>
    <t xml:space="preserve">STOCK KELUAR ATK GA </t>
  </si>
  <si>
    <t>Binder Clips@No.105</t>
  </si>
  <si>
    <t>Binder Clips@No.200</t>
  </si>
  <si>
    <t>Joyko @1box kecil = 12 pcs</t>
  </si>
  <si>
    <t>Pembolong Kertas Besar</t>
  </si>
  <si>
    <t>Joyko @No. 85</t>
  </si>
  <si>
    <t>Data Print @1 Pack = 20 Sheet</t>
  </si>
  <si>
    <t>Amplop Coklat F4</t>
  </si>
  <si>
    <t>Garda @1 Pack = 100 pcs</t>
  </si>
  <si>
    <t>Biola @1 Pack = 50 pcs</t>
  </si>
  <si>
    <t>Lakban Kertas Besar</t>
  </si>
  <si>
    <t>Lakban Coklat Besar</t>
  </si>
  <si>
    <t>Daimaru @48mm</t>
  </si>
  <si>
    <t>Daimaru @24mm</t>
  </si>
  <si>
    <t>Lakban Bening Besar</t>
  </si>
  <si>
    <t>Mika Film</t>
  </si>
  <si>
    <t>@1 Pack = 100 Sheet</t>
  </si>
  <si>
    <t>Kertas Karbon</t>
  </si>
  <si>
    <t>Daito @1 Pack = 100 Sheet</t>
  </si>
  <si>
    <t>Laminating Film</t>
  </si>
  <si>
    <t>E-Print @1 Pack = 100 Sheet</t>
  </si>
  <si>
    <t xml:space="preserve">Amplop Putih Polos </t>
  </si>
  <si>
    <t>Amplop Putih ARKA</t>
  </si>
  <si>
    <t>@90</t>
  </si>
  <si>
    <t>Paperline @90</t>
  </si>
  <si>
    <t>Pocket Note</t>
  </si>
  <si>
    <t>GAA023</t>
  </si>
  <si>
    <t>GAA024</t>
  </si>
  <si>
    <t>GAA025</t>
  </si>
  <si>
    <t>GAA026</t>
  </si>
  <si>
    <t>GAA027</t>
  </si>
  <si>
    <t>GAA028</t>
  </si>
  <si>
    <t>GAA029</t>
  </si>
  <si>
    <t>GAA030</t>
  </si>
  <si>
    <t>GAA031</t>
  </si>
  <si>
    <t>GAA032</t>
  </si>
  <si>
    <t>Erica @156</t>
  </si>
  <si>
    <t>Isi Staples No. 10-1M</t>
  </si>
  <si>
    <t>Kangaro @1box kecil = 20 ea</t>
  </si>
  <si>
    <t>Stabilo Hijau</t>
  </si>
  <si>
    <t>Gunting Besar</t>
  </si>
  <si>
    <t>Pensil</t>
  </si>
  <si>
    <t>Joyko @HL-2</t>
  </si>
  <si>
    <t>Joyko @SC-848</t>
  </si>
  <si>
    <t>Spidol Permanent Hitam Besar</t>
  </si>
  <si>
    <t>Snowman @500</t>
  </si>
  <si>
    <t>@2B</t>
  </si>
  <si>
    <t>Notebook</t>
  </si>
  <si>
    <t>Paperline @A5</t>
  </si>
  <si>
    <t>Kabel Twist</t>
  </si>
  <si>
    <t>Sellery @100 meters</t>
  </si>
  <si>
    <t>Binder Clips@No.107</t>
  </si>
  <si>
    <t>Isi Staples No. 3-1M</t>
  </si>
  <si>
    <t xml:space="preserve">Lakban Bening Kecil </t>
  </si>
  <si>
    <t>Spidol Permanent Putih</t>
  </si>
  <si>
    <t>Daimaru @12mm</t>
  </si>
  <si>
    <t>Lakban Kertas Sedang</t>
  </si>
  <si>
    <t>Snowman WP-12</t>
  </si>
  <si>
    <t>Spidol Whiteboard Marker Red</t>
  </si>
  <si>
    <t>Spidol Whiteboard Marker Green</t>
  </si>
  <si>
    <t>Spidol Whiteboard Marker Black</t>
  </si>
  <si>
    <t>GAA033</t>
  </si>
  <si>
    <t>GAA034</t>
  </si>
  <si>
    <t>GAA035</t>
  </si>
  <si>
    <t>GAA036</t>
  </si>
  <si>
    <t>GAA037</t>
  </si>
  <si>
    <t>GAA038</t>
  </si>
  <si>
    <t>GAA039</t>
  </si>
  <si>
    <t>GAA040</t>
  </si>
  <si>
    <t xml:space="preserve">Spidol Permanent Hitam </t>
  </si>
  <si>
    <t>Snowman BG-12</t>
  </si>
  <si>
    <t>Snowman G-12</t>
  </si>
  <si>
    <t>Kalkulator</t>
  </si>
  <si>
    <t>Snowman @V-7</t>
  </si>
  <si>
    <t>Joyko @1box kecil = 50 pcs</t>
  </si>
  <si>
    <t>Trigonal Clip No. 03</t>
  </si>
  <si>
    <t>Citizen @CT812-BN</t>
  </si>
  <si>
    <t>Nota 2Ply</t>
  </si>
  <si>
    <t>Paperline @108x155 mm</t>
  </si>
  <si>
    <t>Kwitansi Kecil</t>
  </si>
  <si>
    <t>Paperline @40 Sheets</t>
  </si>
  <si>
    <t>GAA041</t>
  </si>
  <si>
    <t>GAA042</t>
  </si>
  <si>
    <t>GAA043</t>
  </si>
  <si>
    <t>GAA044</t>
  </si>
  <si>
    <t>GAA045</t>
  </si>
  <si>
    <t>ABC Alkaline</t>
  </si>
  <si>
    <t>Baterai AAA ABC</t>
  </si>
  <si>
    <t>Baterai AAA Panasonic</t>
  </si>
  <si>
    <t>Panasonic</t>
  </si>
  <si>
    <t xml:space="preserve">Baterai AA Panasonic </t>
  </si>
  <si>
    <t>Amplop Coklat ARKA</t>
  </si>
  <si>
    <t>@A4</t>
  </si>
  <si>
    <t>GAA046</t>
  </si>
  <si>
    <t>Spidol Glass Marker Black</t>
  </si>
  <si>
    <t>Artline EPG-4</t>
  </si>
  <si>
    <t>GAA047</t>
  </si>
  <si>
    <t>GAA048</t>
  </si>
  <si>
    <t>GAA049</t>
  </si>
  <si>
    <t>GAA050</t>
  </si>
  <si>
    <t>GAA051</t>
  </si>
  <si>
    <t>GAA052</t>
  </si>
  <si>
    <t>Kertas Cover Buffalo Cream</t>
  </si>
  <si>
    <t>GAA053</t>
  </si>
  <si>
    <t>GAA054</t>
  </si>
  <si>
    <t>GAA055</t>
  </si>
  <si>
    <t>GAA056</t>
  </si>
  <si>
    <t>GAA057</t>
  </si>
  <si>
    <t>GAA058</t>
  </si>
  <si>
    <t>GAA059</t>
  </si>
  <si>
    <t>Map Holder Bening</t>
  </si>
  <si>
    <t>@F4</t>
  </si>
  <si>
    <t xml:space="preserve">Lakban Bening Sedang </t>
  </si>
  <si>
    <t xml:space="preserve">Double Tape Kecil </t>
  </si>
  <si>
    <t>Double Tape Besar</t>
  </si>
  <si>
    <t>GAA060</t>
  </si>
  <si>
    <t>Lakban Hitam Kecil</t>
  </si>
  <si>
    <t>Kiky @1 Rim</t>
  </si>
  <si>
    <t>Bola Dunia @1 Rim</t>
  </si>
  <si>
    <t>Kertas A4 @70gr</t>
  </si>
  <si>
    <t>Kertas F4 @70gr</t>
  </si>
  <si>
    <t>Kertas A4 Kuning</t>
  </si>
  <si>
    <t>SIDU @1 Rim</t>
  </si>
  <si>
    <t xml:space="preserve">Paper Sticker </t>
  </si>
  <si>
    <t>e-Print @1 Pack = 20 Sheet</t>
  </si>
  <si>
    <t>Isi Cutter</t>
  </si>
  <si>
    <t>GAA061</t>
  </si>
  <si>
    <t>GAA062</t>
  </si>
  <si>
    <t>GAA063</t>
  </si>
  <si>
    <t>GAA064</t>
  </si>
  <si>
    <t>GAA065</t>
  </si>
  <si>
    <t>GAA066</t>
  </si>
  <si>
    <t>GAA067</t>
  </si>
  <si>
    <t>GAA068</t>
  </si>
  <si>
    <t>GAA069</t>
  </si>
  <si>
    <t>GAA070</t>
  </si>
  <si>
    <t>GAA071</t>
  </si>
  <si>
    <t>GAA072</t>
  </si>
  <si>
    <t>GAA073</t>
  </si>
  <si>
    <t>GAA074</t>
  </si>
  <si>
    <t>GAA075</t>
  </si>
  <si>
    <t>GAA076</t>
  </si>
  <si>
    <t>GAA077</t>
  </si>
  <si>
    <t>GAA078</t>
  </si>
  <si>
    <t>Binder Clips@No.260</t>
  </si>
  <si>
    <t xml:space="preserve">Push Pins </t>
  </si>
  <si>
    <t>Ink Catridge Black</t>
  </si>
  <si>
    <t>Epson T6641</t>
  </si>
  <si>
    <t>Ink Catridge Yellow</t>
  </si>
  <si>
    <t>Epson T6644</t>
  </si>
  <si>
    <t>Ink Catridge Cyan</t>
  </si>
  <si>
    <t>Epson T6642</t>
  </si>
  <si>
    <t>Ink Catridge Magenta</t>
  </si>
  <si>
    <t>Epson T6643</t>
  </si>
  <si>
    <t xml:space="preserve">Double Tape Automotive Kecil </t>
  </si>
  <si>
    <t>3M VHB @12mm</t>
  </si>
  <si>
    <t xml:space="preserve">Double Tape Automotive Sedang </t>
  </si>
  <si>
    <t>3M VHB @24mm</t>
  </si>
  <si>
    <t>Spidol Whiteboard Marker Blue</t>
  </si>
  <si>
    <t xml:space="preserve">Spidol Permanent Biru </t>
  </si>
  <si>
    <t>Tip-X</t>
  </si>
  <si>
    <t>Kwitansi Besar</t>
  </si>
  <si>
    <t>Penggaris</t>
  </si>
  <si>
    <t>@30 cm</t>
  </si>
  <si>
    <t xml:space="preserve">Post It Kecil </t>
  </si>
  <si>
    <t>BIG 76x51 mm</t>
  </si>
  <si>
    <t xml:space="preserve">Post It Besar </t>
  </si>
  <si>
    <t>BIG 76x76 mm</t>
  </si>
  <si>
    <t>Spon Air</t>
  </si>
  <si>
    <t>Spon</t>
  </si>
  <si>
    <t>Tinta Merah Stamp Pad</t>
  </si>
  <si>
    <t>Joyko @50cc</t>
  </si>
  <si>
    <t xml:space="preserve">Amplop Coklat Kecil </t>
  </si>
  <si>
    <t>Jaya @1Pack = 100 Ea</t>
  </si>
  <si>
    <t>Pensil Faber Castell 2B</t>
  </si>
  <si>
    <t>FB</t>
  </si>
  <si>
    <t>GAA079</t>
  </si>
  <si>
    <t>GAA080</t>
  </si>
  <si>
    <t>GAA081</t>
  </si>
  <si>
    <t>GAA082</t>
  </si>
  <si>
    <t>Lakban Hitam Besar</t>
  </si>
  <si>
    <t>IAS</t>
  </si>
  <si>
    <t>Kenko @1box</t>
  </si>
  <si>
    <t>Asahi @1 Pack = 100 Sheet</t>
  </si>
  <si>
    <t>IT</t>
  </si>
  <si>
    <t>Kenko L-150 @1 Pack</t>
  </si>
  <si>
    <t>PLANT</t>
  </si>
  <si>
    <t>CORSEC</t>
  </si>
  <si>
    <t>ACCOUNTING</t>
  </si>
  <si>
    <t>RND</t>
  </si>
  <si>
    <t>Kenko @1box kecil = 12 pcs</t>
  </si>
  <si>
    <t>Eka Tape @24mm</t>
  </si>
  <si>
    <t>Eka Tape @48mm</t>
  </si>
  <si>
    <t>Penggaris 20cm</t>
  </si>
  <si>
    <t>@20cm</t>
  </si>
  <si>
    <t>Paper Fastener</t>
  </si>
  <si>
    <t>Kenko @50pcs</t>
  </si>
  <si>
    <t>Baterai AA ABC</t>
  </si>
  <si>
    <t>Kertas Cover Buffalo Putih A4</t>
  </si>
  <si>
    <t>Kertas Cover Buffalo Biru A4</t>
  </si>
  <si>
    <t>Kertas Cover Buffalo Hijau A4</t>
  </si>
  <si>
    <t>Kertas Cover Buffalo Biru F4</t>
  </si>
  <si>
    <t>Kertas Cover Buffalo Hijau F4</t>
  </si>
  <si>
    <t>Kertas Cover Buffalo Merah A4</t>
  </si>
  <si>
    <t>Kertas Cover Buffalo Merah F4</t>
  </si>
  <si>
    <t>GAA083</t>
  </si>
  <si>
    <t>GAA084</t>
  </si>
  <si>
    <t>GAA085</t>
  </si>
  <si>
    <t>Gunting Sedang</t>
  </si>
  <si>
    <t>Cutter</t>
  </si>
  <si>
    <t>Kenko L500</t>
  </si>
  <si>
    <t>GAA086</t>
  </si>
  <si>
    <t>GAA087</t>
  </si>
  <si>
    <t>Lem Stick Besar</t>
  </si>
  <si>
    <t>UHU Besar</t>
  </si>
  <si>
    <t>Glossy Photo Paper</t>
  </si>
  <si>
    <t>Glossy Sticker Paper</t>
  </si>
  <si>
    <t>GAA088</t>
  </si>
  <si>
    <t>Kenko</t>
  </si>
  <si>
    <t>GAA089</t>
  </si>
  <si>
    <t>Snowman</t>
  </si>
  <si>
    <t>GAA090</t>
  </si>
  <si>
    <t>Battery 9 Volt</t>
  </si>
  <si>
    <t>ABC Alkaline (1 Kotak = 12 ea)</t>
  </si>
  <si>
    <t>GAA091</t>
  </si>
  <si>
    <t xml:space="preserve">Lakban Kertas Kecil </t>
  </si>
  <si>
    <t>Eka Tape @12mm</t>
  </si>
  <si>
    <t>GAA092</t>
  </si>
  <si>
    <t xml:space="preserve">Castol </t>
  </si>
  <si>
    <t xml:space="preserve">Lem Castol </t>
  </si>
  <si>
    <t>GAA093</t>
  </si>
  <si>
    <t>GAA094</t>
  </si>
  <si>
    <t xml:space="preserve">Kenko </t>
  </si>
  <si>
    <t>Pulpen 4 Warna</t>
  </si>
  <si>
    <t>GAA095</t>
  </si>
  <si>
    <t>Lakban Merah Besar</t>
  </si>
  <si>
    <t>@48mm</t>
  </si>
  <si>
    <t>GAA096</t>
  </si>
  <si>
    <t>Lem Alteco</t>
  </si>
  <si>
    <t>Alteco</t>
  </si>
  <si>
    <t>GAA097</t>
  </si>
  <si>
    <t>GAA098</t>
  </si>
  <si>
    <t>Nota 1 Ply</t>
  </si>
  <si>
    <t>Buku Jurnal</t>
  </si>
  <si>
    <t>F4</t>
  </si>
  <si>
    <t>GAA099</t>
  </si>
  <si>
    <t>GAA100</t>
  </si>
  <si>
    <t>Map F4</t>
  </si>
  <si>
    <t>Amplop Besar</t>
  </si>
  <si>
    <t>@28x40</t>
  </si>
  <si>
    <t>Amplop A3</t>
  </si>
  <si>
    <t>@A3</t>
  </si>
  <si>
    <t>Amplop 1/2 A4</t>
  </si>
  <si>
    <t>@1/2 A4</t>
  </si>
  <si>
    <t>Lem Stick Kecil</t>
  </si>
  <si>
    <t>UHU Kecil</t>
  </si>
  <si>
    <t>GAA101</t>
  </si>
  <si>
    <t>GAA102</t>
  </si>
  <si>
    <t>Double Tape Sedang</t>
  </si>
  <si>
    <t xml:space="preserve">Tape Cutter Besar </t>
  </si>
  <si>
    <t>GAA103</t>
  </si>
  <si>
    <t>Eraser Whiteboard</t>
  </si>
  <si>
    <t>Eraser</t>
  </si>
  <si>
    <t>GAA104</t>
  </si>
  <si>
    <t>Kertas Cover Buffalo Putih F4</t>
  </si>
  <si>
    <t>GAA105</t>
  </si>
  <si>
    <t>Kertas A3 @70gr</t>
  </si>
  <si>
    <t>Pop 1 @1box = 12 pcs</t>
  </si>
  <si>
    <t>Ballpoint OPF/OPM Permanent</t>
  </si>
  <si>
    <t>GAA106</t>
  </si>
  <si>
    <t>GAA107</t>
  </si>
  <si>
    <t>Catridge Toner Printer HP 85A</t>
  </si>
  <si>
    <t>Catridge Toner Printer HP 78A</t>
  </si>
  <si>
    <t>Printer HP 85A</t>
  </si>
  <si>
    <t>Printer HP 78A</t>
  </si>
  <si>
    <t>Joyko</t>
  </si>
  <si>
    <t>BIG 51x38 mm</t>
  </si>
  <si>
    <t>GAA108</t>
  </si>
  <si>
    <t>Post It Sedang</t>
  </si>
  <si>
    <t>GAA109</t>
  </si>
  <si>
    <t>Tip-X Kertas</t>
  </si>
  <si>
    <t xml:space="preserve">Joyko </t>
  </si>
  <si>
    <t>GAA110</t>
  </si>
  <si>
    <t>Karet Gelang</t>
  </si>
  <si>
    <t>@1pack</t>
  </si>
  <si>
    <t>GAA111</t>
  </si>
  <si>
    <t>Post It Sign Here</t>
  </si>
  <si>
    <t>BIG 44x12 mm</t>
  </si>
  <si>
    <t>GAA112</t>
  </si>
  <si>
    <t xml:space="preserve">Staples </t>
  </si>
  <si>
    <t>Joyko HD-10</t>
  </si>
  <si>
    <t xml:space="preserve">Pulpen </t>
  </si>
  <si>
    <t>Epson 0031</t>
  </si>
  <si>
    <t>Epson 0032</t>
  </si>
  <si>
    <t>Epson 0033</t>
  </si>
  <si>
    <t>Epson 0034</t>
  </si>
  <si>
    <t>GAA113</t>
  </si>
  <si>
    <t>GAA114</t>
  </si>
  <si>
    <t>GAA115</t>
  </si>
  <si>
    <t>GAA116</t>
  </si>
  <si>
    <t>GAA117</t>
  </si>
  <si>
    <t>Binder Clips@No.155</t>
  </si>
  <si>
    <t>GAA118</t>
  </si>
  <si>
    <t>Glossy Photo Paper Double Side A4</t>
  </si>
  <si>
    <t>GAA119</t>
  </si>
  <si>
    <t>Kenko @1box=12ea</t>
  </si>
  <si>
    <t>Pulpen Gel Hitam 0,5mm</t>
  </si>
  <si>
    <t>GAA120</t>
  </si>
  <si>
    <t>Lakban Hitam Sedang</t>
  </si>
  <si>
    <t>Isolasi Bening Kecil</t>
  </si>
  <si>
    <t>GAA121</t>
  </si>
  <si>
    <t>Gold Tape @12mm</t>
  </si>
  <si>
    <t>GAA122</t>
  </si>
  <si>
    <t xml:space="preserve">Stabilo Orange </t>
  </si>
  <si>
    <t>Lem Epoxy</t>
  </si>
  <si>
    <t>GAA123</t>
  </si>
  <si>
    <t>Epoxy</t>
  </si>
  <si>
    <t>GAA124</t>
  </si>
  <si>
    <t>3M Scotch 23 Rubber Splicing Tape</t>
  </si>
  <si>
    <t>3M</t>
  </si>
  <si>
    <t>Fargo DTC 1000 Color Ribbon</t>
  </si>
  <si>
    <t>GAA125</t>
  </si>
  <si>
    <t>Fargo</t>
  </si>
  <si>
    <t>GAA126</t>
  </si>
  <si>
    <t>Whiteboard</t>
  </si>
  <si>
    <t>90x120cm</t>
  </si>
  <si>
    <t>GAA127</t>
  </si>
  <si>
    <t>Name Card Holder</t>
  </si>
  <si>
    <t>Kenko Deluxe</t>
  </si>
  <si>
    <t>Data Print @1 Pack = 50 Sheet</t>
  </si>
  <si>
    <t>GAA128</t>
  </si>
  <si>
    <t>Penghapus Pensil</t>
  </si>
  <si>
    <t>Penghapus</t>
  </si>
  <si>
    <t>GAA129</t>
  </si>
  <si>
    <t>Binder Clips@No.111</t>
  </si>
  <si>
    <t>GAA130</t>
  </si>
  <si>
    <t>Kertas Folio A4</t>
  </si>
  <si>
    <t>GAA131</t>
  </si>
  <si>
    <t>Plastic Bantex</t>
  </si>
  <si>
    <t>GAA132</t>
  </si>
  <si>
    <t>Transparent Sticker A4</t>
  </si>
  <si>
    <t>GAA133</t>
  </si>
  <si>
    <t xml:space="preserve">Double Tape 3M </t>
  </si>
  <si>
    <t>@12mm</t>
  </si>
  <si>
    <t>GAA134</t>
  </si>
  <si>
    <t>GAA135</t>
  </si>
  <si>
    <t>Battery AA Rechargeable</t>
  </si>
  <si>
    <t>Battery AAA Rechargeable</t>
  </si>
  <si>
    <t>GAA136</t>
  </si>
  <si>
    <t>Lem Dextone Instant Glue</t>
  </si>
  <si>
    <t>Dextone</t>
  </si>
  <si>
    <t>GAA137</t>
  </si>
  <si>
    <t>Scotch Electrical Tape Super 33+</t>
  </si>
  <si>
    <t>Electrical Tape</t>
  </si>
  <si>
    <t>GAA138</t>
  </si>
  <si>
    <t>76x110mm</t>
  </si>
  <si>
    <t>Post It Jumbo</t>
  </si>
  <si>
    <t>GAA139</t>
  </si>
  <si>
    <t>Super Glossy Photo Paper A4</t>
  </si>
  <si>
    <t>e-print</t>
  </si>
  <si>
    <t>DNC</t>
  </si>
  <si>
    <t>HCS</t>
  </si>
  <si>
    <t>GAA140</t>
  </si>
  <si>
    <t>Papan Scanner</t>
  </si>
  <si>
    <t>Papanscanner</t>
  </si>
  <si>
    <t>GAA141</t>
  </si>
  <si>
    <t>Spidol 12 Colour</t>
  </si>
  <si>
    <t>@1 Pack = 12 Pcs</t>
  </si>
  <si>
    <t>GAA142</t>
  </si>
  <si>
    <t>Amplop Coklat Polos</t>
  </si>
  <si>
    <t>Paper Tray</t>
  </si>
  <si>
    <t>GAA143</t>
  </si>
  <si>
    <t>GAA144</t>
  </si>
  <si>
    <t>Desk Pen Holder</t>
  </si>
  <si>
    <t>Papertray</t>
  </si>
  <si>
    <t>Deskpenholder</t>
  </si>
  <si>
    <t>GAA145</t>
  </si>
  <si>
    <t>Kertas A4 80 Gram</t>
  </si>
  <si>
    <t>@1 Rim</t>
  </si>
  <si>
    <t>GAA146</t>
  </si>
  <si>
    <t>Bantex Box File 4011 10 CM</t>
  </si>
  <si>
    <t>Bantex Box File</t>
  </si>
  <si>
    <t>: HCS</t>
  </si>
  <si>
    <t>2+</t>
  </si>
  <si>
    <t>1+</t>
  </si>
  <si>
    <t>Transmittal Form</t>
  </si>
  <si>
    <t>Form of Assignment</t>
  </si>
  <si>
    <t>Form Cuti Tahunan</t>
  </si>
  <si>
    <t>Form Cuti 5 Tahunan</t>
  </si>
  <si>
    <t>Form P2H LV</t>
  </si>
  <si>
    <t>Form P2H Genset</t>
  </si>
  <si>
    <t>Surat Perintah Lembur</t>
  </si>
  <si>
    <t>Surat Peringatan</t>
  </si>
  <si>
    <t>Form Pembinaan</t>
  </si>
  <si>
    <t>Kertas Putih Kop ARKA</t>
  </si>
  <si>
    <t>Kertas Pengalaman Kerja</t>
  </si>
  <si>
    <t>Post It 3 Color</t>
  </si>
  <si>
    <t>20x50 mm</t>
  </si>
  <si>
    <t>Arny</t>
  </si>
  <si>
    <t>Rizky</t>
  </si>
  <si>
    <t>Karina</t>
  </si>
  <si>
    <t>Corsec</t>
  </si>
  <si>
    <t>Nabila</t>
  </si>
  <si>
    <t>Nisa</t>
  </si>
  <si>
    <t>@2026</t>
  </si>
  <si>
    <t>Dedi</t>
  </si>
  <si>
    <t>Eko</t>
  </si>
  <si>
    <t>Erzha</t>
  </si>
  <si>
    <t>Gusti</t>
  </si>
  <si>
    <t>Adel</t>
  </si>
  <si>
    <t>Accounting</t>
  </si>
  <si>
    <t>Elma</t>
  </si>
  <si>
    <t>PNB</t>
  </si>
  <si>
    <t>Della</t>
  </si>
  <si>
    <t>Plant</t>
  </si>
  <si>
    <t>Putri</t>
  </si>
  <si>
    <t>Anna</t>
  </si>
  <si>
    <t>Produksi</t>
  </si>
  <si>
    <t>Rizky KAN</t>
  </si>
  <si>
    <t>Nanik</t>
  </si>
  <si>
    <t>Romdi</t>
  </si>
  <si>
    <t>Donna</t>
  </si>
  <si>
    <t>Mukti</t>
  </si>
  <si>
    <t>Dedi R.</t>
  </si>
  <si>
    <t>SHE</t>
  </si>
  <si>
    <t>PRODUKSI</t>
  </si>
  <si>
    <t>Prata</t>
  </si>
  <si>
    <t>Sasa</t>
  </si>
  <si>
    <t>Junaedi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</si>
</sst>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4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1" fillId="2" borderId="0" xfId="0" applyFont="1" applyFill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1" fillId="2" borderId="0" xfId="0" applyFont="1" applyFill="1" applyProtection="1">
      <protection hidden="1"/>
    </xf>
    <xf numFmtId="0" fontId="1" fillId="2" borderId="0" xfId="0" applyFont="1" applyFill="1" applyAlignment="1" applyProtection="1">
      <alignment horizontal="left"/>
      <protection hidden="1"/>
    </xf>
    <xf numFmtId="0" fontId="3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4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Protection="1">
      <protection hidden="1"/>
    </xf>
    <xf numFmtId="0" fontId="2" fillId="3" borderId="0" xfId="0" applyFont="1" applyFill="1" applyAlignment="1" applyProtection="1">
      <alignment vertic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  <xf numFmtId="0" fontId="1" fillId="3" borderId="0" xfId="0" applyFont="1" applyFill="1" applyProtection="1">
      <protection hidden="1"/>
    </xf>
    <xf numFmtId="0" fontId="0" fillId="3" borderId="0" xfId="0" applyFill="1"/>
    <xf numFmtId="164" fontId="1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/>
    <xf numFmtId="0" fontId="10" fillId="0" borderId="0" xfId="0" applyFont="1" applyProtection="1">
      <protection hidden="1"/>
    </xf>
    <xf numFmtId="0" fontId="12" fillId="0" borderId="0" xfId="0" applyFont="1"/>
    <xf numFmtId="0" fontId="13" fillId="0" borderId="0" xfId="0" applyFont="1" applyAlignment="1">
      <alignment horizontal="center"/>
    </xf>
    <xf numFmtId="0" fontId="1" fillId="5" borderId="0" xfId="0" applyFont="1" applyFill="1" applyAlignment="1" applyProtection="1">
      <alignment horizontal="left" vertical="center"/>
      <protection hidden="1"/>
    </xf>
    <xf numFmtId="0" fontId="1" fillId="5" borderId="0" xfId="0" applyFont="1" applyFill="1" applyAlignment="1" applyProtection="1">
      <alignment horizontal="center" vertical="center"/>
      <protection hidden="1"/>
    </xf>
    <xf numFmtId="0" fontId="1" fillId="5" borderId="0" xfId="0" applyFont="1" applyFill="1" applyProtection="1">
      <protection hidden="1"/>
    </xf>
    <xf numFmtId="0" fontId="1" fillId="5" borderId="0" xfId="0" applyFont="1" applyFill="1" applyAlignment="1" applyProtection="1">
      <alignment horizontal="left"/>
      <protection hidden="1"/>
    </xf>
    <xf numFmtId="0" fontId="0" fillId="5" borderId="0" xfId="0" applyFill="1" applyProtection="1">
      <protection hidden="1"/>
    </xf>
    <xf numFmtId="0" fontId="3" fillId="0" borderId="0" xfId="1" applyFont="1" applyProtection="1">
      <protection hidden="1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2" fillId="6" borderId="0" xfId="0" applyFont="1" applyFill="1" applyAlignment="1" applyProtection="1">
      <alignment vertical="center"/>
      <protection hidden="1"/>
    </xf>
    <xf numFmtId="0" fontId="1" fillId="6" borderId="0" xfId="0" applyFont="1" applyFill="1" applyAlignment="1" applyProtection="1">
      <alignment horizontal="center" vertical="center"/>
      <protection hidden="1"/>
    </xf>
    <xf numFmtId="0" fontId="1" fillId="6" borderId="0" xfId="0" applyFont="1" applyFill="1" applyProtection="1">
      <protection hidden="1"/>
    </xf>
    <xf numFmtId="0" fontId="0" fillId="6" borderId="0" xfId="0" applyFill="1"/>
    <xf numFmtId="0" fontId="17" fillId="0" borderId="0" xfId="0" applyFont="1" applyAlignment="1" applyProtection="1">
      <alignment horizontal="right"/>
      <protection hidden="1"/>
    </xf>
    <xf numFmtId="0" fontId="1" fillId="5" borderId="0" xfId="0" quotePrefix="1" applyFont="1" applyFill="1" applyAlignment="1" applyProtection="1">
      <alignment horizontal="right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0" xfId="0" quotePrefix="1" applyFont="1"/>
    <xf numFmtId="0" fontId="1" fillId="0" borderId="0" xfId="0" quotePrefix="1" applyFont="1" applyProtection="1">
      <protection hidden="1"/>
    </xf>
    <xf numFmtId="0" fontId="1" fillId="0" borderId="0" xfId="0" quotePrefix="1" applyFont="1" applyAlignment="1" applyProtection="1">
      <alignment horizontal="left"/>
      <protection hidden="1"/>
    </xf>
    <xf numFmtId="0" fontId="9" fillId="0" borderId="1" xfId="0" applyFont="1" applyBorder="1" applyAlignment="1">
      <alignment horizontal="center"/>
    </xf>
    <xf numFmtId="0" fontId="20" fillId="0" borderId="0" xfId="0" applyFont="1" applyProtection="1">
      <protection hidden="1"/>
    </xf>
    <xf numFmtId="0" fontId="1" fillId="2" borderId="0" xfId="0" quotePrefix="1" applyFont="1" applyFill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/>
      <protection hidden="1"/>
    </xf>
    <xf numFmtId="164" fontId="0" fillId="0" borderId="0" xfId="0" applyNumberFormat="1" applyProtection="1">
      <protection hidden="1"/>
    </xf>
    <xf numFmtId="16" fontId="0" fillId="0" borderId="0" xfId="0" applyNumberFormat="1" applyProtection="1">
      <protection hidden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5" fillId="3" borderId="0" xfId="0" applyFont="1" applyFill="1" applyAlignment="1" applyProtection="1">
      <alignment horizontal="center" vertical="center"/>
      <protection hidden="1"/>
    </xf>
    <xf numFmtId="0" fontId="1" fillId="5" borderId="0" xfId="0" applyFont="1" applyFill="1" applyAlignment="1" applyProtection="1">
      <alignment horizontal="right"/>
      <protection hidden="1"/>
    </xf>
    <xf numFmtId="0" fontId="1" fillId="4" borderId="1" xfId="0" applyFont="1" applyFill="1" applyBorder="1" applyAlignment="1" applyProtection="1">
      <alignment horizontal="center"/>
      <protection hidden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5" fillId="7" borderId="0" xfId="0" applyFont="1" applyFill="1" applyAlignment="1" applyProtection="1">
      <alignment horizontal="center" vertical="center"/>
      <protection hidden="1"/>
    </xf>
    <xf numFmtId="0" fontId="15" fillId="9" borderId="0" xfId="0" applyFont="1" applyFill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right"/>
      <protection hidden="1"/>
    </xf>
    <xf numFmtId="0" fontId="14" fillId="8" borderId="1" xfId="0" applyFont="1" applyFill="1" applyBorder="1" applyAlignment="1" applyProtection="1">
      <alignment horizontal="center"/>
      <protection hidden="1"/>
    </xf>
  </cellXfs>
  <cellStyles count="2">
    <cellStyle name="Hyperlink" xfId="1" builtinId="8"/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0" formatCode="General"/>
    </dxf>
    <dxf>
      <font>
        <b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b/>
      </font>
      <numFmt numFmtId="164" formatCode="[$-409]d\-m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0" formatCode="General"/>
      <protection locked="1" hidden="1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0" formatCode="General"/>
      <protection locked="1" hidden="1"/>
    </dxf>
    <dxf>
      <font>
        <b/>
        <color auto="1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1"/>
    </dxf>
    <dxf>
      <font>
        <b/>
      </font>
      <protection locked="1" hidden="1"/>
    </dxf>
    <dxf>
      <font>
        <b/>
      </font>
      <protection locked="1" hidden="1"/>
    </dxf>
    <dxf>
      <font>
        <b/>
      </font>
      <protection locked="1" hidden="1"/>
    </dxf>
    <dxf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5" tint="-0.499984740745262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 tint="-0.499984740745262"/>
        <name val="Calibri"/>
        <scheme val="minor"/>
      </font>
      <alignment horizontal="center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numFmt numFmtId="164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Pengambilan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8698171115344056E-2"/>
          <c:y val="0.22126776263283665"/>
          <c:w val="0.867912543276388"/>
          <c:h val="0.53317374698015862"/>
        </c:manualLayout>
      </c:layout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Keluar!$J$6:$J$132</c:f>
              <c:strCache>
                <c:ptCount val="127"/>
                <c:pt idx="0">
                  <c:v>Total Keluar</c:v>
                </c:pt>
                <c:pt idx="1">
                  <c:v>GAA001</c:v>
                </c:pt>
                <c:pt idx="2">
                  <c:v>GAA002</c:v>
                </c:pt>
                <c:pt idx="3">
                  <c:v>GAA003</c:v>
                </c:pt>
                <c:pt idx="4">
                  <c:v>GAA004</c:v>
                </c:pt>
                <c:pt idx="5">
                  <c:v>GAA005</c:v>
                </c:pt>
                <c:pt idx="6">
                  <c:v>GAA006</c:v>
                </c:pt>
                <c:pt idx="7">
                  <c:v>GAA008</c:v>
                </c:pt>
                <c:pt idx="8">
                  <c:v>GAA009</c:v>
                </c:pt>
                <c:pt idx="9">
                  <c:v>GAA010</c:v>
                </c:pt>
                <c:pt idx="10">
                  <c:v>GAA011</c:v>
                </c:pt>
                <c:pt idx="11">
                  <c:v>GAA012</c:v>
                </c:pt>
                <c:pt idx="12">
                  <c:v>GAA013</c:v>
                </c:pt>
                <c:pt idx="13">
                  <c:v>GAA014</c:v>
                </c:pt>
                <c:pt idx="14">
                  <c:v>GAA015</c:v>
                </c:pt>
                <c:pt idx="15">
                  <c:v>GAA016</c:v>
                </c:pt>
                <c:pt idx="16">
                  <c:v>GAA017</c:v>
                </c:pt>
                <c:pt idx="17">
                  <c:v>GAA018</c:v>
                </c:pt>
                <c:pt idx="18">
                  <c:v>GAA019</c:v>
                </c:pt>
                <c:pt idx="19">
                  <c:v>GAA020</c:v>
                </c:pt>
                <c:pt idx="20">
                  <c:v>GAA021</c:v>
                </c:pt>
                <c:pt idx="21">
                  <c:v>GAA022</c:v>
                </c:pt>
                <c:pt idx="22">
                  <c:v>GAA023</c:v>
                </c:pt>
                <c:pt idx="23">
                  <c:v>GAA024</c:v>
                </c:pt>
                <c:pt idx="24">
                  <c:v>GAA025</c:v>
                </c:pt>
                <c:pt idx="25">
                  <c:v>GAA026</c:v>
                </c:pt>
                <c:pt idx="26">
                  <c:v>GAA027</c:v>
                </c:pt>
                <c:pt idx="27">
                  <c:v>GAA028</c:v>
                </c:pt>
                <c:pt idx="28">
                  <c:v>GAA029</c:v>
                </c:pt>
                <c:pt idx="29">
                  <c:v>GAA030</c:v>
                </c:pt>
                <c:pt idx="30">
                  <c:v>GAA031</c:v>
                </c:pt>
                <c:pt idx="31">
                  <c:v>GAA032</c:v>
                </c:pt>
                <c:pt idx="32">
                  <c:v>GAA033</c:v>
                </c:pt>
                <c:pt idx="33">
                  <c:v>GAA034</c:v>
                </c:pt>
                <c:pt idx="34">
                  <c:v>GAA035</c:v>
                </c:pt>
                <c:pt idx="35">
                  <c:v>GAA036</c:v>
                </c:pt>
                <c:pt idx="36">
                  <c:v>GAA037</c:v>
                </c:pt>
                <c:pt idx="37">
                  <c:v>GAA038</c:v>
                </c:pt>
                <c:pt idx="38">
                  <c:v>GAA039</c:v>
                </c:pt>
                <c:pt idx="39">
                  <c:v>GAA040</c:v>
                </c:pt>
                <c:pt idx="40">
                  <c:v>GAA041</c:v>
                </c:pt>
                <c:pt idx="41">
                  <c:v>GAA042</c:v>
                </c:pt>
                <c:pt idx="42">
                  <c:v>GAA043</c:v>
                </c:pt>
                <c:pt idx="43">
                  <c:v>GAA044</c:v>
                </c:pt>
                <c:pt idx="44">
                  <c:v>GAA045</c:v>
                </c:pt>
                <c:pt idx="45">
                  <c:v>GAA046</c:v>
                </c:pt>
                <c:pt idx="46">
                  <c:v>GAA047</c:v>
                </c:pt>
                <c:pt idx="47">
                  <c:v>GAA048</c:v>
                </c:pt>
                <c:pt idx="48">
                  <c:v>GAA049</c:v>
                </c:pt>
                <c:pt idx="49">
                  <c:v>GAA050</c:v>
                </c:pt>
                <c:pt idx="50">
                  <c:v>GAA051</c:v>
                </c:pt>
                <c:pt idx="51">
                  <c:v>GAA052</c:v>
                </c:pt>
                <c:pt idx="52">
                  <c:v>GAA053</c:v>
                </c:pt>
                <c:pt idx="53">
                  <c:v>GAA054</c:v>
                </c:pt>
                <c:pt idx="54">
                  <c:v>GAA055</c:v>
                </c:pt>
                <c:pt idx="55">
                  <c:v>GAA056</c:v>
                </c:pt>
                <c:pt idx="56">
                  <c:v>GAA057</c:v>
                </c:pt>
                <c:pt idx="57">
                  <c:v>GAA058</c:v>
                </c:pt>
                <c:pt idx="58">
                  <c:v>GAA059</c:v>
                </c:pt>
                <c:pt idx="59">
                  <c:v>GAA060</c:v>
                </c:pt>
                <c:pt idx="60">
                  <c:v>GAA061</c:v>
                </c:pt>
                <c:pt idx="61">
                  <c:v>GAA062</c:v>
                </c:pt>
                <c:pt idx="62">
                  <c:v>GAA063</c:v>
                </c:pt>
                <c:pt idx="63">
                  <c:v>GAA064</c:v>
                </c:pt>
                <c:pt idx="64">
                  <c:v>GAA065</c:v>
                </c:pt>
                <c:pt idx="65">
                  <c:v>GAA066</c:v>
                </c:pt>
                <c:pt idx="66">
                  <c:v>GAA067</c:v>
                </c:pt>
                <c:pt idx="67">
                  <c:v>GAA068</c:v>
                </c:pt>
                <c:pt idx="68">
                  <c:v>GAA069</c:v>
                </c:pt>
                <c:pt idx="69">
                  <c:v>GAA070</c:v>
                </c:pt>
                <c:pt idx="70">
                  <c:v>GAA071</c:v>
                </c:pt>
                <c:pt idx="71">
                  <c:v>GAA072</c:v>
                </c:pt>
                <c:pt idx="72">
                  <c:v>GAA073</c:v>
                </c:pt>
                <c:pt idx="73">
                  <c:v>GAA074</c:v>
                </c:pt>
                <c:pt idx="74">
                  <c:v>GAA075</c:v>
                </c:pt>
                <c:pt idx="75">
                  <c:v>GAA076</c:v>
                </c:pt>
                <c:pt idx="76">
                  <c:v>GAA077</c:v>
                </c:pt>
                <c:pt idx="77">
                  <c:v>GAA078</c:v>
                </c:pt>
                <c:pt idx="78">
                  <c:v>GAA079</c:v>
                </c:pt>
                <c:pt idx="79">
                  <c:v>GAA080</c:v>
                </c:pt>
                <c:pt idx="80">
                  <c:v>GAA081</c:v>
                </c:pt>
                <c:pt idx="81">
                  <c:v>GAA082</c:v>
                </c:pt>
                <c:pt idx="82">
                  <c:v>GAA083</c:v>
                </c:pt>
                <c:pt idx="83">
                  <c:v>GAA084</c:v>
                </c:pt>
                <c:pt idx="84">
                  <c:v>GAA085</c:v>
                </c:pt>
                <c:pt idx="85">
                  <c:v>GAA086</c:v>
                </c:pt>
                <c:pt idx="86">
                  <c:v>GAA087</c:v>
                </c:pt>
                <c:pt idx="87">
                  <c:v>GAA088</c:v>
                </c:pt>
                <c:pt idx="88">
                  <c:v>GAA089</c:v>
                </c:pt>
                <c:pt idx="89">
                  <c:v>GAA090</c:v>
                </c:pt>
                <c:pt idx="90">
                  <c:v>GAA091</c:v>
                </c:pt>
                <c:pt idx="91">
                  <c:v>GAA092</c:v>
                </c:pt>
                <c:pt idx="92">
                  <c:v>GAA093</c:v>
                </c:pt>
                <c:pt idx="93">
                  <c:v>GAA094</c:v>
                </c:pt>
                <c:pt idx="94">
                  <c:v>GAA095</c:v>
                </c:pt>
                <c:pt idx="95">
                  <c:v>GAA096</c:v>
                </c:pt>
                <c:pt idx="96">
                  <c:v>GAA097</c:v>
                </c:pt>
                <c:pt idx="97">
                  <c:v>GAA098</c:v>
                </c:pt>
                <c:pt idx="98">
                  <c:v>GAA099</c:v>
                </c:pt>
                <c:pt idx="99">
                  <c:v>GAA100</c:v>
                </c:pt>
                <c:pt idx="100">
                  <c:v>GAA101</c:v>
                </c:pt>
                <c:pt idx="101">
                  <c:v>GAA102</c:v>
                </c:pt>
                <c:pt idx="102">
                  <c:v>GAA103</c:v>
                </c:pt>
                <c:pt idx="103">
                  <c:v>GAA104</c:v>
                </c:pt>
                <c:pt idx="104">
                  <c:v>GAA105</c:v>
                </c:pt>
                <c:pt idx="105">
                  <c:v>GAA106</c:v>
                </c:pt>
                <c:pt idx="106">
                  <c:v>GAA107</c:v>
                </c:pt>
                <c:pt idx="107">
                  <c:v>GAA108</c:v>
                </c:pt>
                <c:pt idx="108">
                  <c:v>GAA109</c:v>
                </c:pt>
                <c:pt idx="109">
                  <c:v>GAA110</c:v>
                </c:pt>
                <c:pt idx="110">
                  <c:v>GAA111</c:v>
                </c:pt>
                <c:pt idx="111">
                  <c:v>GAA112</c:v>
                </c:pt>
                <c:pt idx="112">
                  <c:v>GAA113</c:v>
                </c:pt>
                <c:pt idx="113">
                  <c:v>GAA114</c:v>
                </c:pt>
                <c:pt idx="114">
                  <c:v>GAA115</c:v>
                </c:pt>
                <c:pt idx="115">
                  <c:v>GAA116</c:v>
                </c:pt>
                <c:pt idx="116">
                  <c:v>GAA117</c:v>
                </c:pt>
                <c:pt idx="117">
                  <c:v>GAA118</c:v>
                </c:pt>
                <c:pt idx="118">
                  <c:v>GAA119</c:v>
                </c:pt>
                <c:pt idx="119">
                  <c:v>GAA120</c:v>
                </c:pt>
                <c:pt idx="120">
                  <c:v>GAA121</c:v>
                </c:pt>
                <c:pt idx="121">
                  <c:v>GAA122</c:v>
                </c:pt>
                <c:pt idx="122">
                  <c:v>GAA123</c:v>
                </c:pt>
                <c:pt idx="123">
                  <c:v>GAA124</c:v>
                </c:pt>
                <c:pt idx="124">
                  <c:v>GAA125</c:v>
                </c:pt>
                <c:pt idx="125">
                  <c:v>GAA126</c:v>
                </c:pt>
                <c:pt idx="126">
                  <c:v>GAA127</c:v>
                </c:pt>
              </c:strCache>
            </c:strRef>
          </c:cat>
          <c:val>
            <c:numRef>
              <c:f>Keluar!$L$6:$L$132</c:f>
              <c:numCache>
                <c:formatCode>General</c:formatCode>
                <c:ptCount val="127"/>
                <c:pt idx="1">
                  <c:v>13</c:v>
                </c:pt>
                <c:pt idx="2">
                  <c:v>13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17</c:v>
                </c:pt>
                <c:pt idx="7">
                  <c:v>5</c:v>
                </c:pt>
                <c:pt idx="8">
                  <c:v>31</c:v>
                </c:pt>
                <c:pt idx="9">
                  <c:v>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</c:v>
                </c:pt>
                <c:pt idx="15">
                  <c:v>2</c:v>
                </c:pt>
                <c:pt idx="16">
                  <c:v>1</c:v>
                </c:pt>
                <c:pt idx="17">
                  <c:v>25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  <c:pt idx="21">
                  <c:v>12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</c:v>
                </c:pt>
                <c:pt idx="32">
                  <c:v>2</c:v>
                </c:pt>
                <c:pt idx="33">
                  <c:v>4</c:v>
                </c:pt>
                <c:pt idx="34">
                  <c:v>0</c:v>
                </c:pt>
                <c:pt idx="35">
                  <c:v>7</c:v>
                </c:pt>
                <c:pt idx="36">
                  <c:v>0</c:v>
                </c:pt>
                <c:pt idx="37">
                  <c:v>0</c:v>
                </c:pt>
                <c:pt idx="38">
                  <c:v>91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3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124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7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5</c:v>
                </c:pt>
                <c:pt idx="68">
                  <c:v>0</c:v>
                </c:pt>
                <c:pt idx="69">
                  <c:v>0</c:v>
                </c:pt>
                <c:pt idx="70">
                  <c:v>17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83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5</c:v>
                </c:pt>
                <c:pt idx="84">
                  <c:v>3</c:v>
                </c:pt>
                <c:pt idx="85">
                  <c:v>0</c:v>
                </c:pt>
                <c:pt idx="86">
                  <c:v>4</c:v>
                </c:pt>
                <c:pt idx="87">
                  <c:v>0</c:v>
                </c:pt>
                <c:pt idx="88">
                  <c:v>0</c:v>
                </c:pt>
                <c:pt idx="89">
                  <c:v>12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74</c:v>
                </c:pt>
                <c:pt idx="95">
                  <c:v>0</c:v>
                </c:pt>
                <c:pt idx="96">
                  <c:v>0</c:v>
                </c:pt>
                <c:pt idx="97">
                  <c:v>10</c:v>
                </c:pt>
                <c:pt idx="98">
                  <c:v>0</c:v>
                </c:pt>
                <c:pt idx="99">
                  <c:v>1</c:v>
                </c:pt>
                <c:pt idx="100">
                  <c:v>2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17</c:v>
                </c:pt>
                <c:pt idx="108">
                  <c:v>2</c:v>
                </c:pt>
                <c:pt idx="109">
                  <c:v>2</c:v>
                </c:pt>
                <c:pt idx="110">
                  <c:v>4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40</c:v>
                </c:pt>
                <c:pt idx="119">
                  <c:v>0</c:v>
                </c:pt>
                <c:pt idx="120">
                  <c:v>0</c:v>
                </c:pt>
                <c:pt idx="121">
                  <c:v>11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3-40CF-BFA2-A79ABCF47B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9430784"/>
        <c:axId val="139431344"/>
      </c:lineChart>
      <c:catAx>
        <c:axId val="13943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1344"/>
        <c:crosses val="autoZero"/>
        <c:auto val="1"/>
        <c:lblAlgn val="ctr"/>
        <c:lblOffset val="100"/>
        <c:noMultiLvlLbl val="0"/>
      </c:catAx>
      <c:valAx>
        <c:axId val="1394313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43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78442</xdr:colOff>
      <xdr:row>0</xdr:row>
      <xdr:rowOff>112059</xdr:rowOff>
    </xdr:from>
    <xdr:to>
      <xdr:col>1</xdr:col>
      <xdr:colOff>704571</xdr:colOff>
      <xdr:row>2</xdr:row>
      <xdr:rowOff>73959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2" y="112059"/>
          <a:ext cx="1500188" cy="34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104775</xdr:rowOff>
    </xdr:from>
    <xdr:to>
      <xdr:col>1</xdr:col>
      <xdr:colOff>509588</xdr:colOff>
      <xdr:row>2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04775"/>
          <a:ext cx="1500188" cy="34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</xdr:colOff>
      <xdr:row>0</xdr:row>
      <xdr:rowOff>114300</xdr:rowOff>
    </xdr:from>
    <xdr:to>
      <xdr:col>1</xdr:col>
      <xdr:colOff>601756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" y="114300"/>
          <a:ext cx="1500188" cy="342900"/>
        </a:xfrm>
        <a:prstGeom prst="rect">
          <a:avLst/>
        </a:prstGeom>
      </xdr:spPr>
    </xdr:pic>
    <xdr:clientData/>
  </xdr:twoCellAnchor>
  <xdr:twoCellAnchor>
    <xdr:from>
      <xdr:col>9</xdr:col>
      <xdr:colOff>16808</xdr:colOff>
      <xdr:row>173</xdr:row>
      <xdr:rowOff>28016</xdr:rowOff>
    </xdr:from>
    <xdr:to>
      <xdr:col>14</xdr:col>
      <xdr:colOff>0</xdr:colOff>
      <xdr:row>187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Katalog" displayName="tblKatalog" ref="A6:G152" totalsRowShown="0" headerRowDxfId="16" dataDxfId="15">
  <autoFilter ref="A6:G152" xr:uid="{00000000-0009-0000-0100-000001000000}"/>
  <tableColumns count="7">
    <tableColumn id="1" xr3:uid="{00000000-0010-0000-0000-000001000000}" name="Kode Barang" dataDxfId="14"/>
    <tableColumn id="2" xr3:uid="{00000000-0010-0000-0000-000002000000}" name="Jenis Barang" dataDxfId="13"/>
    <tableColumn id="7" xr3:uid="{00000000-0010-0000-0000-000007000000}" name="Deskripsi" dataDxfId="12"/>
    <tableColumn id="3" xr3:uid="{00000000-0010-0000-0000-000003000000}" name="Awal" dataDxfId="11"/>
    <tableColumn id="4" xr3:uid="{00000000-0010-0000-0000-000004000000}" name="Masuk" dataDxfId="10">
      <calculatedColumnFormula>+SUMIF(tblMasuk[Kode Barang],tblKatalog[[#This Row],[Kode Barang]],tblMasuk[Jumlah Masuk])</calculatedColumnFormula>
    </tableColumn>
    <tableColumn id="5" xr3:uid="{00000000-0010-0000-0000-000005000000}" name="Keluar" dataDxfId="9">
      <calculatedColumnFormula>+SUMIF(tblKeluar[Kode Barang],tblKatalog[[#This Row],[Kode Barang]],tblKeluar[Jumlah Keluar])</calculatedColumnFormula>
    </tableColumn>
    <tableColumn id="6" xr3:uid="{00000000-0010-0000-0000-000006000000}" name="Akhir" dataDxfId="8">
      <calculatedColumnFormula>+tblKatalog[[#This Row],[Awal]]+tblKatalog[[#This Row],[Masuk]]-tblKatalog[[#This Row],[Keluar]]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asuk" displayName="tblMasuk" ref="A6:E184" totalsRowShown="0" headerRowDxfId="7">
  <autoFilter ref="A6:E184" xr:uid="{00000000-0009-0000-0100-000002000000}"/>
  <tableColumns count="5">
    <tableColumn id="1" xr3:uid="{00000000-0010-0000-0100-000001000000}" name="Tanggal" dataDxfId="6"/>
    <tableColumn id="2" xr3:uid="{00000000-0010-0000-0100-000002000000}" name="Kode Barang" dataDxfId="5"/>
    <tableColumn id="3" xr3:uid="{00000000-0010-0000-0100-000003000000}" name="Jenis Barang" dataDxfId="4">
      <calculatedColumnFormula>+VLOOKUP(tblMasuk[[#This Row],[Kode Barang]],tblKatalog[],2)</calculatedColumnFormula>
    </tableColumn>
    <tableColumn id="5" xr3:uid="{00000000-0010-0000-0100-000005000000}" name="Deskripsi Barang" dataDxfId="3">
      <calculatedColumnFormula>+VLOOKUP(tblMasuk[[#This Row],[Kode Barang]],tblKatalog[],3)</calculatedColumnFormula>
    </tableColumn>
    <tableColumn id="4" xr3:uid="{00000000-0010-0000-0100-000004000000}" name="Jumlah Masuk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Keluar" displayName="tblKeluar" ref="A6:G577" totalsRowShown="0" headerRowDxfId="22">
  <autoFilter ref="A6:G577" xr:uid="{00000000-0009-0000-0100-000003000000}"/>
  <sortState xmlns:xlrd2="http://schemas.microsoft.com/office/spreadsheetml/2017/richdata2" ref="A7:G577">
    <sortCondition ref="A6:A577"/>
  </sortState>
  <tableColumns count="7">
    <tableColumn id="1" xr3:uid="{00000000-0010-0000-0200-000001000000}" name="Tanggal" dataDxfId="21"/>
    <tableColumn id="2" xr3:uid="{00000000-0010-0000-0200-000002000000}" name="Kode Barang" dataDxfId="20"/>
    <tableColumn id="3" xr3:uid="{00000000-0010-0000-0200-000003000000}" name="Jenis Barang" dataDxfId="1">
      <calculatedColumnFormula>+VLOOKUP(tblKeluar[[#This Row],[Kode Barang]],tblKatalog[],2)</calculatedColumnFormula>
    </tableColumn>
    <tableColumn id="5" xr3:uid="{00000000-0010-0000-0200-000005000000}" name="Deskripsi Barang" dataDxfId="0">
      <calculatedColumnFormula>+VLOOKUP(tblKeluar[[#This Row],[Kode Barang]],tblKatalog[],3)</calculatedColumnFormula>
    </tableColumn>
    <tableColumn id="4" xr3:uid="{00000000-0010-0000-0200-000004000000}" name="Jumlah Keluar" dataDxfId="19"/>
    <tableColumn id="6" xr3:uid="{00000000-0010-0000-0200-000006000000}" name="Lokasi Kebutuhan" dataDxfId="18"/>
    <tableColumn id="7" xr3:uid="{00000000-0010-0000-0200-000007000000}" name="Penanggungjawab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ABC@600ml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ABC@600ml" TargetMode="External"/><Relationship Id="rId1" Type="http://schemas.openxmlformats.org/officeDocument/2006/relationships/hyperlink" Target="mailto:ABC@600m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5"/>
  <sheetViews>
    <sheetView tabSelected="1" topLeftCell="A46" zoomScale="85" zoomScaleNormal="85" workbookViewId="0">
      <selection activeCell="L28" sqref="L28"/>
    </sheetView>
  </sheetViews>
  <sheetFormatPr defaultColWidth="9.140625" defaultRowHeight="15" x14ac:dyDescent="0.25"/>
  <cols>
    <col min="1" max="1" width="13.140625" style="2" customWidth="1"/>
    <col min="2" max="2" width="30.42578125" style="2" customWidth="1"/>
    <col min="3" max="3" width="27.7109375" style="2" customWidth="1"/>
    <col min="4" max="5" width="11.85546875" style="2" customWidth="1"/>
    <col min="6" max="6" width="12.28515625" style="2" customWidth="1"/>
    <col min="7" max="7" width="10.85546875" style="2" customWidth="1"/>
    <col min="8" max="8" width="4.140625" style="2" customWidth="1"/>
    <col min="9" max="9" width="0" style="2" hidden="1" customWidth="1"/>
    <col min="10" max="16" width="9.140625" style="2"/>
    <col min="17" max="17" width="13.5703125" style="2" customWidth="1"/>
    <col min="18" max="18" width="9.85546875" style="2" bestFit="1" customWidth="1"/>
    <col min="19" max="16384" width="9.140625" style="2"/>
  </cols>
  <sheetData>
    <row r="1" spans="1:9" x14ac:dyDescent="0.25">
      <c r="A1" s="60" t="s">
        <v>42</v>
      </c>
      <c r="B1" s="60"/>
      <c r="C1" s="60"/>
      <c r="D1" s="60"/>
      <c r="E1" s="60"/>
      <c r="F1" s="60"/>
      <c r="G1" s="60"/>
    </row>
    <row r="2" spans="1:9" x14ac:dyDescent="0.25">
      <c r="A2" s="60"/>
      <c r="B2" s="60"/>
      <c r="C2" s="60"/>
      <c r="D2" s="60"/>
      <c r="E2" s="60"/>
      <c r="F2" s="60"/>
      <c r="G2" s="60"/>
    </row>
    <row r="3" spans="1:9" x14ac:dyDescent="0.25">
      <c r="A3" s="60"/>
      <c r="B3" s="60"/>
      <c r="C3" s="60"/>
      <c r="D3" s="60"/>
      <c r="E3" s="60"/>
      <c r="F3" s="60"/>
      <c r="G3" s="60"/>
    </row>
    <row r="4" spans="1:9" x14ac:dyDescent="0.25">
      <c r="A4" s="28" t="s">
        <v>11</v>
      </c>
      <c r="B4" s="28" t="s">
        <v>426</v>
      </c>
      <c r="C4" s="29"/>
      <c r="D4" s="29"/>
      <c r="E4" s="29"/>
      <c r="F4" s="29"/>
      <c r="G4" s="41" t="s">
        <v>448</v>
      </c>
    </row>
    <row r="5" spans="1:9" x14ac:dyDescent="0.25">
      <c r="A5" s="30" t="s">
        <v>13</v>
      </c>
      <c r="B5" s="31" t="s">
        <v>12</v>
      </c>
      <c r="C5" s="32"/>
      <c r="D5" s="32"/>
      <c r="E5" s="55" t="s">
        <v>14</v>
      </c>
      <c r="F5" s="55"/>
      <c r="G5" s="55"/>
    </row>
    <row r="6" spans="1:9" x14ac:dyDescent="0.25">
      <c r="A6" s="8" t="s">
        <v>0</v>
      </c>
      <c r="B6" s="8" t="s">
        <v>10</v>
      </c>
      <c r="C6" s="8" t="s">
        <v>9</v>
      </c>
      <c r="D6" s="8" t="s">
        <v>2</v>
      </c>
      <c r="E6" s="8" t="s">
        <v>3</v>
      </c>
      <c r="F6" s="8" t="s">
        <v>4</v>
      </c>
      <c r="G6" s="8" t="s">
        <v>5</v>
      </c>
    </row>
    <row r="7" spans="1:9" x14ac:dyDescent="0.25">
      <c r="A7" s="11" t="s">
        <v>20</v>
      </c>
      <c r="B7" s="11" t="s">
        <v>45</v>
      </c>
      <c r="C7" s="43" t="s">
        <v>234</v>
      </c>
      <c r="D7" s="49">
        <v>49</v>
      </c>
      <c r="E7" s="12">
        <f>+SUMIF(tblMasuk[Kode Barang],tblKatalog[[#This Row],[Kode Barang]],tblMasuk[Jumlah Masuk])</f>
        <v>0</v>
      </c>
      <c r="F7" s="12">
        <f>+SUMIF(tblKeluar[Kode Barang],tblKatalog[[#This Row],[Kode Barang]],tblKeluar[Jumlah Keluar])</f>
        <v>13</v>
      </c>
      <c r="G7" s="49">
        <f>+tblKatalog[[#This Row],[Awal]]+tblKatalog[[#This Row],[Masuk]]-tblKatalog[[#This Row],[Keluar]]</f>
        <v>36</v>
      </c>
      <c r="I7" s="2">
        <v>91</v>
      </c>
    </row>
    <row r="8" spans="1:9" x14ac:dyDescent="0.25">
      <c r="A8" s="11" t="s">
        <v>21</v>
      </c>
      <c r="B8" s="11" t="s">
        <v>46</v>
      </c>
      <c r="C8" s="43" t="s">
        <v>311</v>
      </c>
      <c r="D8" s="49">
        <v>32</v>
      </c>
      <c r="E8" s="12">
        <f>+SUMIF(tblMasuk[Kode Barang],tblKatalog[[#This Row],[Kode Barang]],tblMasuk[Jumlah Masuk])</f>
        <v>11</v>
      </c>
      <c r="F8" s="12">
        <f>+SUMIF(tblKeluar[Kode Barang],tblKatalog[[#This Row],[Kode Barang]],tblKeluar[Jumlah Keluar])</f>
        <v>13</v>
      </c>
      <c r="G8" s="49">
        <f>+tblKatalog[[#This Row],[Awal]]+tblKatalog[[#This Row],[Masuk]]-tblKatalog[[#This Row],[Keluar]]</f>
        <v>30</v>
      </c>
      <c r="H8" s="40"/>
      <c r="I8" s="2">
        <v>34</v>
      </c>
    </row>
    <row r="9" spans="1:9" x14ac:dyDescent="0.25">
      <c r="A9" s="11" t="s">
        <v>22</v>
      </c>
      <c r="B9" s="11" t="s">
        <v>95</v>
      </c>
      <c r="C9" s="43" t="s">
        <v>47</v>
      </c>
      <c r="D9" s="49">
        <v>3</v>
      </c>
      <c r="E9" s="12">
        <f>+SUMIF(tblMasuk[Kode Barang],tblKatalog[[#This Row],[Kode Barang]],tblMasuk[Jumlah Masuk])</f>
        <v>0</v>
      </c>
      <c r="F9" s="12">
        <f>+SUMIF(tblKeluar[Kode Barang],tblKatalog[[#This Row],[Kode Barang]],tblKeluar[Jumlah Keluar])</f>
        <v>0</v>
      </c>
      <c r="G9" s="49">
        <f>+tblKatalog[[#This Row],[Awal]]+tblKatalog[[#This Row],[Masuk]]-tblKatalog[[#This Row],[Keluar]]</f>
        <v>3</v>
      </c>
      <c r="H9" s="40"/>
    </row>
    <row r="10" spans="1:9" x14ac:dyDescent="0.25">
      <c r="A10" s="11" t="s">
        <v>23</v>
      </c>
      <c r="B10" s="11" t="s">
        <v>259</v>
      </c>
      <c r="C10" s="33" t="s">
        <v>373</v>
      </c>
      <c r="D10" s="49">
        <v>1</v>
      </c>
      <c r="E10" s="12">
        <f>+SUMIF(tblMasuk[Kode Barang],tblKatalog[[#This Row],[Kode Barang]],tblMasuk[Jumlah Masuk])</f>
        <v>3</v>
      </c>
      <c r="F10" s="12">
        <f>+SUMIF(tblKeluar[Kode Barang],tblKatalog[[#This Row],[Kode Barang]],tblKeluar[Jumlah Keluar])</f>
        <v>3</v>
      </c>
      <c r="G10" s="49">
        <f>+tblKatalog[[#This Row],[Awal]]+tblKatalog[[#This Row],[Masuk]]-tblKatalog[[#This Row],[Keluar]]</f>
        <v>1</v>
      </c>
      <c r="H10" s="40"/>
      <c r="I10" s="2">
        <v>1</v>
      </c>
    </row>
    <row r="11" spans="1:9" x14ac:dyDescent="0.25">
      <c r="A11" s="11" t="s">
        <v>24</v>
      </c>
      <c r="B11" s="11" t="s">
        <v>51</v>
      </c>
      <c r="C11" s="11" t="s">
        <v>52</v>
      </c>
      <c r="D11" s="49">
        <v>10</v>
      </c>
      <c r="E11" s="12">
        <f>+SUMIF(tblMasuk[Kode Barang],tblKatalog[[#This Row],[Kode Barang]],tblMasuk[Jumlah Masuk])</f>
        <v>1</v>
      </c>
      <c r="F11" s="12">
        <f>+SUMIF(tblKeluar[Kode Barang],tblKatalog[[#This Row],[Kode Barang]],tblKeluar[Jumlah Keluar])</f>
        <v>2</v>
      </c>
      <c r="G11" s="49">
        <f>+tblKatalog[[#This Row],[Awal]]+tblKatalog[[#This Row],[Masuk]]-tblKatalog[[#This Row],[Keluar]]</f>
        <v>9</v>
      </c>
      <c r="H11" s="40"/>
    </row>
    <row r="12" spans="1:9" x14ac:dyDescent="0.25">
      <c r="A12" s="11" t="s">
        <v>25</v>
      </c>
      <c r="B12" s="11" t="s">
        <v>291</v>
      </c>
      <c r="C12" s="11" t="s">
        <v>53</v>
      </c>
      <c r="D12" s="49">
        <v>50</v>
      </c>
      <c r="E12" s="12">
        <f>+SUMIF(tblMasuk[Kode Barang],tblKatalog[[#This Row],[Kode Barang]],tblMasuk[Jumlah Masuk])</f>
        <v>1</v>
      </c>
      <c r="F12" s="12">
        <f>+SUMIF(tblKeluar[Kode Barang],tblKatalog[[#This Row],[Kode Barang]],tblKeluar[Jumlah Keluar])</f>
        <v>17</v>
      </c>
      <c r="G12" s="49">
        <f>+tblKatalog[[#This Row],[Awal]]+tblKatalog[[#This Row],[Masuk]]-tblKatalog[[#This Row],[Keluar]]</f>
        <v>34</v>
      </c>
      <c r="H12" s="40"/>
    </row>
    <row r="13" spans="1:9" x14ac:dyDescent="0.25">
      <c r="A13" s="11" t="s">
        <v>26</v>
      </c>
      <c r="B13" s="11" t="s">
        <v>100</v>
      </c>
      <c r="C13" s="33" t="s">
        <v>235</v>
      </c>
      <c r="D13" s="49">
        <v>0</v>
      </c>
      <c r="E13" s="12">
        <f>+SUMIF(tblMasuk[Kode Barang],tblKatalog[[#This Row],[Kode Barang]],tblMasuk[Jumlah Masuk])</f>
        <v>0</v>
      </c>
      <c r="F13" s="12">
        <f>+SUMIF(tblKeluar[Kode Barang],tblKatalog[[#This Row],[Kode Barang]],tblKeluar[Jumlah Keluar])</f>
        <v>0</v>
      </c>
      <c r="G13" s="49">
        <f>+tblKatalog[[#This Row],[Awal]]+tblKatalog[[#This Row],[Masuk]]-tblKatalog[[#This Row],[Keluar]]</f>
        <v>0</v>
      </c>
      <c r="H13" s="40"/>
      <c r="I13" s="2">
        <v>0</v>
      </c>
    </row>
    <row r="14" spans="1:9" x14ac:dyDescent="0.25">
      <c r="A14" s="11" t="s">
        <v>27</v>
      </c>
      <c r="B14" s="11" t="s">
        <v>54</v>
      </c>
      <c r="C14" s="33" t="s">
        <v>236</v>
      </c>
      <c r="D14" s="49">
        <v>2</v>
      </c>
      <c r="E14" s="12">
        <f>+SUMIF(tblMasuk[Kode Barang],tblKatalog[[#This Row],[Kode Barang]],tblMasuk[Jumlah Masuk])</f>
        <v>6</v>
      </c>
      <c r="F14" s="12">
        <f>+SUMIF(tblKeluar[Kode Barang],tblKatalog[[#This Row],[Kode Barang]],tblKeluar[Jumlah Keluar])</f>
        <v>5</v>
      </c>
      <c r="G14" s="49">
        <f>+tblKatalog[[#This Row],[Awal]]+tblKatalog[[#This Row],[Masuk]]-tblKatalog[[#This Row],[Keluar]]</f>
        <v>3</v>
      </c>
      <c r="H14" s="40"/>
      <c r="I14" s="2">
        <v>1</v>
      </c>
    </row>
    <row r="15" spans="1:9" x14ac:dyDescent="0.25">
      <c r="A15" s="11" t="s">
        <v>28</v>
      </c>
      <c r="B15" s="11" t="s">
        <v>55</v>
      </c>
      <c r="C15" s="33" t="s">
        <v>56</v>
      </c>
      <c r="D15" s="49">
        <v>3</v>
      </c>
      <c r="E15" s="12">
        <f>+SUMIF(tblMasuk[Kode Barang],tblKatalog[[#This Row],[Kode Barang]],tblMasuk[Jumlah Masuk])</f>
        <v>33</v>
      </c>
      <c r="F15" s="12">
        <f>+SUMIF(tblKeluar[Kode Barang],tblKatalog[[#This Row],[Kode Barang]],tblKeluar[Jumlah Keluar])</f>
        <v>31</v>
      </c>
      <c r="G15" s="49">
        <f>+tblKatalog[[#This Row],[Awal]]+tblKatalog[[#This Row],[Masuk]]-tblKatalog[[#This Row],[Keluar]]</f>
        <v>5</v>
      </c>
      <c r="H15" s="40"/>
      <c r="I15" s="2">
        <v>4</v>
      </c>
    </row>
    <row r="16" spans="1:9" x14ac:dyDescent="0.25">
      <c r="A16" s="11" t="s">
        <v>29</v>
      </c>
      <c r="B16" s="11" t="s">
        <v>58</v>
      </c>
      <c r="C16" s="33" t="s">
        <v>56</v>
      </c>
      <c r="D16" s="49">
        <v>7</v>
      </c>
      <c r="E16" s="12">
        <f>+SUMIF(tblMasuk[Kode Barang],tblKatalog[[#This Row],[Kode Barang]],tblMasuk[Jumlah Masuk])</f>
        <v>23</v>
      </c>
      <c r="F16" s="12">
        <f>+SUMIF(tblKeluar[Kode Barang],tblKatalog[[#This Row],[Kode Barang]],tblKeluar[Jumlah Keluar])</f>
        <v>23</v>
      </c>
      <c r="G16" s="49">
        <f>+tblKatalog[[#This Row],[Awal]]+tblKatalog[[#This Row],[Masuk]]-tblKatalog[[#This Row],[Keluar]]</f>
        <v>7</v>
      </c>
      <c r="H16" s="40"/>
      <c r="I16" s="2">
        <v>4</v>
      </c>
    </row>
    <row r="17" spans="1:9" x14ac:dyDescent="0.25">
      <c r="A17" s="11" t="s">
        <v>30</v>
      </c>
      <c r="B17" s="11" t="s">
        <v>59</v>
      </c>
      <c r="C17" s="11" t="s">
        <v>227</v>
      </c>
      <c r="D17" s="49">
        <v>0</v>
      </c>
      <c r="E17" s="12">
        <f>+SUMIF(tblMasuk[Kode Barang],tblKatalog[[#This Row],[Kode Barang]],tblMasuk[Jumlah Masuk])</f>
        <v>0</v>
      </c>
      <c r="F17" s="12">
        <f>+SUMIF(tblKeluar[Kode Barang],tblKatalog[[#This Row],[Kode Barang]],tblKeluar[Jumlah Keluar])</f>
        <v>0</v>
      </c>
      <c r="G17" s="49">
        <f>+tblKatalog[[#This Row],[Awal]]+tblKatalog[[#This Row],[Masuk]]-tblKatalog[[#This Row],[Keluar]]</f>
        <v>0</v>
      </c>
      <c r="H17" s="40"/>
      <c r="I17" s="2">
        <v>1</v>
      </c>
    </row>
    <row r="18" spans="1:9" x14ac:dyDescent="0.25">
      <c r="A18" s="11" t="s">
        <v>31</v>
      </c>
      <c r="B18" s="11" t="s">
        <v>247</v>
      </c>
      <c r="C18" s="44" t="s">
        <v>60</v>
      </c>
      <c r="D18" s="49">
        <v>1</v>
      </c>
      <c r="E18" s="12">
        <f>+SUMIF(tblMasuk[Kode Barang],tblKatalog[[#This Row],[Kode Barang]],tblMasuk[Jumlah Masuk])</f>
        <v>0</v>
      </c>
      <c r="F18" s="12">
        <f>+SUMIF(tblKeluar[Kode Barang],tblKatalog[[#This Row],[Kode Barang]],tblKeluar[Jumlah Keluar])</f>
        <v>0</v>
      </c>
      <c r="G18" s="49">
        <f>+tblKatalog[[#This Row],[Awal]]+tblKatalog[[#This Row],[Masuk]]-tblKatalog[[#This Row],[Keluar]]</f>
        <v>1</v>
      </c>
      <c r="H18" s="40"/>
      <c r="I18" s="2">
        <v>1</v>
      </c>
    </row>
    <row r="19" spans="1:9" x14ac:dyDescent="0.25">
      <c r="A19" s="11" t="s">
        <v>32</v>
      </c>
      <c r="B19" s="11" t="s">
        <v>61</v>
      </c>
      <c r="C19" s="11" t="s">
        <v>62</v>
      </c>
      <c r="D19" s="49">
        <v>2</v>
      </c>
      <c r="E19" s="12">
        <f>+SUMIF(tblMasuk[Kode Barang],tblKatalog[[#This Row],[Kode Barang]],tblMasuk[Jumlah Masuk])</f>
        <v>0</v>
      </c>
      <c r="F19" s="12">
        <f>+SUMIF(tblKeluar[Kode Barang],tblKatalog[[#This Row],[Kode Barang]],tblKeluar[Jumlah Keluar])</f>
        <v>0</v>
      </c>
      <c r="G19" s="49">
        <f>+tblKatalog[[#This Row],[Awal]]+tblKatalog[[#This Row],[Masuk]]-tblKatalog[[#This Row],[Keluar]]</f>
        <v>2</v>
      </c>
      <c r="H19" s="40"/>
      <c r="I19" s="2">
        <v>2</v>
      </c>
    </row>
    <row r="20" spans="1:9" x14ac:dyDescent="0.25">
      <c r="A20" s="11" t="s">
        <v>33</v>
      </c>
      <c r="B20" s="11" t="s">
        <v>63</v>
      </c>
      <c r="C20" s="11" t="s">
        <v>64</v>
      </c>
      <c r="D20" s="49">
        <v>1</v>
      </c>
      <c r="E20" s="12">
        <f>+SUMIF(tblMasuk[Kode Barang],tblKatalog[[#This Row],[Kode Barang]],tblMasuk[Jumlah Masuk])</f>
        <v>0</v>
      </c>
      <c r="F20" s="12">
        <f>+SUMIF(tblKeluar[Kode Barang],tblKatalog[[#This Row],[Kode Barang]],tblKeluar[Jumlah Keluar])</f>
        <v>0</v>
      </c>
      <c r="G20" s="49">
        <f>+tblKatalog[[#This Row],[Awal]]+tblKatalog[[#This Row],[Masuk]]-tblKatalog[[#This Row],[Keluar]]</f>
        <v>1</v>
      </c>
      <c r="H20" s="40"/>
      <c r="I20" s="2">
        <v>2</v>
      </c>
    </row>
    <row r="21" spans="1:9" x14ac:dyDescent="0.25">
      <c r="A21" s="11" t="s">
        <v>34</v>
      </c>
      <c r="B21" s="11" t="s">
        <v>65</v>
      </c>
      <c r="C21" s="11" t="s">
        <v>68</v>
      </c>
      <c r="D21" s="49">
        <v>4</v>
      </c>
      <c r="E21" s="16">
        <f>+SUMIF(tblMasuk[Kode Barang],tblKatalog[[#This Row],[Kode Barang]],tblMasuk[Jumlah Masuk])</f>
        <v>5</v>
      </c>
      <c r="F21" s="12">
        <f>+SUMIF(tblKeluar[Kode Barang],tblKatalog[[#This Row],[Kode Barang]],tblKeluar[Jumlah Keluar])</f>
        <v>6</v>
      </c>
      <c r="G21" s="49">
        <f>+tblKatalog[[#This Row],[Awal]]+tblKatalog[[#This Row],[Masuk]]-tblKatalog[[#This Row],[Keluar]]</f>
        <v>3</v>
      </c>
      <c r="H21" s="40"/>
      <c r="I21" s="2">
        <v>2</v>
      </c>
    </row>
    <row r="22" spans="1:9" x14ac:dyDescent="0.25">
      <c r="A22" s="11" t="s">
        <v>35</v>
      </c>
      <c r="B22" s="11" t="s">
        <v>66</v>
      </c>
      <c r="C22" s="45" t="s">
        <v>67</v>
      </c>
      <c r="D22" s="49">
        <v>3</v>
      </c>
      <c r="E22" s="16">
        <f>+SUMIF(tblMasuk[Kode Barang],tblKatalog[[#This Row],[Kode Barang]],tblMasuk[Jumlah Masuk])</f>
        <v>1</v>
      </c>
      <c r="F22" s="12">
        <f>+SUMIF(tblKeluar[Kode Barang],tblKatalog[[#This Row],[Kode Barang]],tblKeluar[Jumlah Keluar])</f>
        <v>2</v>
      </c>
      <c r="G22" s="49">
        <f>+tblKatalog[[#This Row],[Awal]]+tblKatalog[[#This Row],[Masuk]]-tblKatalog[[#This Row],[Keluar]]</f>
        <v>2</v>
      </c>
      <c r="H22" s="40"/>
      <c r="I22" s="2">
        <v>3</v>
      </c>
    </row>
    <row r="23" spans="1:9" x14ac:dyDescent="0.25">
      <c r="A23" s="11" t="s">
        <v>36</v>
      </c>
      <c r="B23" s="11" t="s">
        <v>69</v>
      </c>
      <c r="C23" s="11" t="s">
        <v>80</v>
      </c>
      <c r="D23" s="49">
        <v>0</v>
      </c>
      <c r="E23" s="16">
        <f>+SUMIF(tblMasuk[Kode Barang],tblKatalog[[#This Row],[Kode Barang]],tblMasuk[Jumlah Masuk])</f>
        <v>1</v>
      </c>
      <c r="F23" s="12">
        <f>+SUMIF(tblKeluar[Kode Barang],tblKatalog[[#This Row],[Kode Barang]],tblKeluar[Jumlah Keluar])</f>
        <v>1</v>
      </c>
      <c r="G23" s="49">
        <f>+tblKatalog[[#This Row],[Awal]]+tblKatalog[[#This Row],[Masuk]]-tblKatalog[[#This Row],[Keluar]]</f>
        <v>0</v>
      </c>
      <c r="H23" s="40"/>
      <c r="I23" s="2">
        <v>0</v>
      </c>
    </row>
    <row r="24" spans="1:9" x14ac:dyDescent="0.25">
      <c r="A24" s="11" t="s">
        <v>37</v>
      </c>
      <c r="B24" s="11" t="s">
        <v>81</v>
      </c>
      <c r="C24" s="11" t="s">
        <v>82</v>
      </c>
      <c r="D24" s="49">
        <v>43</v>
      </c>
      <c r="E24" s="16">
        <f>+SUMIF(tblMasuk[Kode Barang],tblKatalog[[#This Row],[Kode Barang]],tblMasuk[Jumlah Masuk])</f>
        <v>20</v>
      </c>
      <c r="F24" s="12">
        <f>+SUMIF(tblKeluar[Kode Barang],tblKatalog[[#This Row],[Kode Barang]],tblKeluar[Jumlah Keluar])</f>
        <v>25</v>
      </c>
      <c r="G24" s="49">
        <f>+tblKatalog[[#This Row],[Awal]]+tblKatalog[[#This Row],[Masuk]]-tblKatalog[[#This Row],[Keluar]]</f>
        <v>38</v>
      </c>
      <c r="H24" s="40"/>
      <c r="I24" s="2">
        <v>46</v>
      </c>
    </row>
    <row r="25" spans="1:9" x14ac:dyDescent="0.25">
      <c r="A25" s="11" t="s">
        <v>38</v>
      </c>
      <c r="B25" s="11" t="s">
        <v>83</v>
      </c>
      <c r="C25" s="11" t="s">
        <v>86</v>
      </c>
      <c r="D25" s="49">
        <v>3</v>
      </c>
      <c r="E25" s="16">
        <f>+SUMIF(tblMasuk[Kode Barang],tblKatalog[[#This Row],[Kode Barang]],tblMasuk[Jumlah Masuk])</f>
        <v>2</v>
      </c>
      <c r="F25" s="12">
        <f>+SUMIF(tblKeluar[Kode Barang],tblKatalog[[#This Row],[Kode Barang]],tblKeluar[Jumlah Keluar])</f>
        <v>2</v>
      </c>
      <c r="G25" s="49">
        <f>+tblKatalog[[#This Row],[Awal]]+tblKatalog[[#This Row],[Masuk]]-tblKatalog[[#This Row],[Keluar]]</f>
        <v>3</v>
      </c>
    </row>
    <row r="26" spans="1:9" x14ac:dyDescent="0.25">
      <c r="A26" s="11" t="s">
        <v>39</v>
      </c>
      <c r="B26" s="11" t="s">
        <v>357</v>
      </c>
      <c r="C26" s="11" t="s">
        <v>86</v>
      </c>
      <c r="D26" s="49">
        <v>0</v>
      </c>
      <c r="E26" s="16">
        <f>+SUMIF(tblMasuk[Kode Barang],tblKatalog[[#This Row],[Kode Barang]],tblMasuk[Jumlah Masuk])</f>
        <v>4</v>
      </c>
      <c r="F26" s="12">
        <f>+SUMIF(tblKeluar[Kode Barang],tblKatalog[[#This Row],[Kode Barang]],tblKeluar[Jumlah Keluar])</f>
        <v>4</v>
      </c>
      <c r="G26" s="49">
        <f>+tblKatalog[[#This Row],[Awal]]+tblKatalog[[#This Row],[Masuk]]-tblKatalog[[#This Row],[Keluar]]</f>
        <v>0</v>
      </c>
      <c r="I26" s="2">
        <v>0</v>
      </c>
    </row>
    <row r="27" spans="1:9" x14ac:dyDescent="0.25">
      <c r="A27" s="11" t="s">
        <v>40</v>
      </c>
      <c r="B27" s="11" t="s">
        <v>84</v>
      </c>
      <c r="C27" s="33" t="s">
        <v>87</v>
      </c>
      <c r="D27" s="49">
        <v>0</v>
      </c>
      <c r="E27" s="16">
        <f>+SUMIF(tblMasuk[Kode Barang],tblKatalog[[#This Row],[Kode Barang]],tblMasuk[Jumlah Masuk])</f>
        <v>0</v>
      </c>
      <c r="F27" s="12">
        <f>+SUMIF(tblKeluar[Kode Barang],tblKatalog[[#This Row],[Kode Barang]],tblKeluar[Jumlah Keluar])</f>
        <v>0</v>
      </c>
      <c r="G27" s="49">
        <f>+tblKatalog[[#This Row],[Awal]]+tblKatalog[[#This Row],[Masuk]]-tblKatalog[[#This Row],[Keluar]]</f>
        <v>0</v>
      </c>
      <c r="I27" s="2">
        <v>0</v>
      </c>
    </row>
    <row r="28" spans="1:9" x14ac:dyDescent="0.25">
      <c r="A28" s="11" t="s">
        <v>41</v>
      </c>
      <c r="B28" s="11" t="s">
        <v>85</v>
      </c>
      <c r="C28" s="44" t="s">
        <v>90</v>
      </c>
      <c r="D28" s="49">
        <v>2</v>
      </c>
      <c r="E28" s="25">
        <f>+SUMIF(tblMasuk[Kode Barang],tblKatalog[[#This Row],[Kode Barang]],tblMasuk[Jumlah Masuk])</f>
        <v>12</v>
      </c>
      <c r="F28" s="12">
        <f>+SUMIF(tblKeluar[Kode Barang],tblKatalog[[#This Row],[Kode Barang]],tblKeluar[Jumlah Keluar])</f>
        <v>12</v>
      </c>
      <c r="G28" s="49">
        <f>+tblKatalog[[#This Row],[Awal]]+tblKatalog[[#This Row],[Masuk]]-tblKatalog[[#This Row],[Keluar]]</f>
        <v>2</v>
      </c>
      <c r="I28" s="2">
        <v>2</v>
      </c>
    </row>
    <row r="29" spans="1:9" x14ac:dyDescent="0.25">
      <c r="A29" s="11" t="s">
        <v>70</v>
      </c>
      <c r="B29" s="11" t="s">
        <v>91</v>
      </c>
      <c r="C29" s="33" t="s">
        <v>92</v>
      </c>
      <c r="D29" s="49">
        <v>0</v>
      </c>
      <c r="E29" s="16">
        <f>+SUMIF(tblMasuk[Kode Barang],tblKatalog[[#This Row],[Kode Barang]],tblMasuk[Jumlah Masuk])</f>
        <v>5</v>
      </c>
      <c r="F29" s="12">
        <f>+SUMIF(tblKeluar[Kode Barang],tblKatalog[[#This Row],[Kode Barang]],tblKeluar[Jumlah Keluar])</f>
        <v>5</v>
      </c>
      <c r="G29" s="49">
        <f>+tblKatalog[[#This Row],[Awal]]+tblKatalog[[#This Row],[Masuk]]-tblKatalog[[#This Row],[Keluar]]</f>
        <v>0</v>
      </c>
      <c r="I29" s="2">
        <v>0</v>
      </c>
    </row>
    <row r="30" spans="1:9" x14ac:dyDescent="0.25">
      <c r="A30" s="11" t="s">
        <v>71</v>
      </c>
      <c r="B30" s="11" t="s">
        <v>88</v>
      </c>
      <c r="C30" s="11" t="s">
        <v>89</v>
      </c>
      <c r="D30" s="49">
        <v>1</v>
      </c>
      <c r="E30" s="25">
        <f>+SUMIF(tblMasuk[Kode Barang],tblKatalog[[#This Row],[Kode Barang]],tblMasuk[Jumlah Masuk])</f>
        <v>0</v>
      </c>
      <c r="F30" s="12">
        <f>+SUMIF(tblKeluar[Kode Barang],tblKatalog[[#This Row],[Kode Barang]],tblKeluar[Jumlah Keluar])</f>
        <v>0</v>
      </c>
      <c r="G30" s="49">
        <f>+tblKatalog[[#This Row],[Awal]]+tblKatalog[[#This Row],[Masuk]]-tblKatalog[[#This Row],[Keluar]]</f>
        <v>1</v>
      </c>
      <c r="I30" s="2">
        <v>1</v>
      </c>
    </row>
    <row r="31" spans="1:9" x14ac:dyDescent="0.25">
      <c r="A31" s="11" t="s">
        <v>72</v>
      </c>
      <c r="B31" s="11" t="s">
        <v>93</v>
      </c>
      <c r="C31" s="33" t="s">
        <v>94</v>
      </c>
      <c r="D31" s="49">
        <v>3</v>
      </c>
      <c r="E31" s="16">
        <f>+SUMIF(tblMasuk[Kode Barang],tblKatalog[[#This Row],[Kode Barang]],tblMasuk[Jumlah Masuk])</f>
        <v>0</v>
      </c>
      <c r="F31" s="12">
        <f>+SUMIF(tblKeluar[Kode Barang],tblKatalog[[#This Row],[Kode Barang]],tblKeluar[Jumlah Keluar])</f>
        <v>0</v>
      </c>
      <c r="G31" s="49">
        <f>+tblKatalog[[#This Row],[Awal]]+tblKatalog[[#This Row],[Masuk]]-tblKatalog[[#This Row],[Keluar]]</f>
        <v>3</v>
      </c>
      <c r="I31" s="2">
        <v>3</v>
      </c>
    </row>
    <row r="32" spans="1:9" x14ac:dyDescent="0.25">
      <c r="A32" s="11" t="s">
        <v>73</v>
      </c>
      <c r="B32" s="11" t="s">
        <v>48</v>
      </c>
      <c r="C32" s="11" t="s">
        <v>49</v>
      </c>
      <c r="D32" s="49">
        <v>0</v>
      </c>
      <c r="E32" s="25">
        <f>+SUMIF(tblMasuk[Kode Barang],tblKatalog[[#This Row],[Kode Barang]],tblMasuk[Jumlah Masuk])</f>
        <v>0</v>
      </c>
      <c r="F32" s="12">
        <f>+SUMIF(tblKeluar[Kode Barang],tblKatalog[[#This Row],[Kode Barang]],tblKeluar[Jumlah Keluar])</f>
        <v>0</v>
      </c>
      <c r="G32" s="49">
        <f>+tblKatalog[[#This Row],[Awal]]+tblKatalog[[#This Row],[Masuk]]-tblKatalog[[#This Row],[Keluar]]</f>
        <v>0</v>
      </c>
      <c r="I32" s="2">
        <v>0</v>
      </c>
    </row>
    <row r="33" spans="1:9" x14ac:dyDescent="0.25">
      <c r="A33" s="11" t="s">
        <v>74</v>
      </c>
      <c r="B33" s="11" t="s">
        <v>96</v>
      </c>
      <c r="C33" s="11" t="s">
        <v>82</v>
      </c>
      <c r="D33" s="49">
        <v>19</v>
      </c>
      <c r="E33" s="16">
        <f>+SUMIF(tblMasuk[Kode Barang],tblKatalog[[#This Row],[Kode Barang]],tblMasuk[Jumlah Masuk])</f>
        <v>0</v>
      </c>
      <c r="F33" s="12">
        <f>+SUMIF(tblKeluar[Kode Barang],tblKatalog[[#This Row],[Kode Barang]],tblKeluar[Jumlah Keluar])</f>
        <v>0</v>
      </c>
      <c r="G33" s="49">
        <f>+tblKatalog[[#This Row],[Awal]]+tblKatalog[[#This Row],[Masuk]]-tblKatalog[[#This Row],[Keluar]]</f>
        <v>19</v>
      </c>
      <c r="I33" s="2">
        <v>33</v>
      </c>
    </row>
    <row r="34" spans="1:9" x14ac:dyDescent="0.25">
      <c r="A34" s="11" t="s">
        <v>75</v>
      </c>
      <c r="B34" s="11" t="s">
        <v>97</v>
      </c>
      <c r="C34" s="33" t="s">
        <v>99</v>
      </c>
      <c r="D34" s="49">
        <v>0</v>
      </c>
      <c r="E34" s="25">
        <f>+SUMIF(tblMasuk[Kode Barang],tblKatalog[[#This Row],[Kode Barang]],tblMasuk[Jumlah Masuk])</f>
        <v>0</v>
      </c>
      <c r="F34" s="12">
        <f>+SUMIF(tblKeluar[Kode Barang],tblKatalog[[#This Row],[Kode Barang]],tblKeluar[Jumlah Keluar])</f>
        <v>0</v>
      </c>
      <c r="G34" s="49">
        <f>+tblKatalog[[#This Row],[Awal]]+tblKatalog[[#This Row],[Masuk]]-tblKatalog[[#This Row],[Keluar]]</f>
        <v>0</v>
      </c>
      <c r="I34" s="2">
        <v>0</v>
      </c>
    </row>
    <row r="35" spans="1:9" x14ac:dyDescent="0.25">
      <c r="A35" s="11" t="s">
        <v>76</v>
      </c>
      <c r="B35" s="11" t="s">
        <v>98</v>
      </c>
      <c r="C35" s="33" t="s">
        <v>101</v>
      </c>
      <c r="D35" s="49">
        <v>1</v>
      </c>
      <c r="E35" s="16">
        <f>+SUMIF(tblMasuk[Kode Barang],tblKatalog[[#This Row],[Kode Barang]],tblMasuk[Jumlah Masuk])</f>
        <v>0</v>
      </c>
      <c r="F35" s="12">
        <f>+SUMIF(tblKeluar[Kode Barang],tblKatalog[[#This Row],[Kode Barang]],tblKeluar[Jumlah Keluar])</f>
        <v>0</v>
      </c>
      <c r="G35" s="49">
        <f>+tblKatalog[[#This Row],[Awal]]+tblKatalog[[#This Row],[Masuk]]-tblKatalog[[#This Row],[Keluar]]</f>
        <v>1</v>
      </c>
      <c r="I35" s="2">
        <v>5</v>
      </c>
    </row>
    <row r="36" spans="1:9" x14ac:dyDescent="0.25">
      <c r="A36" s="11" t="s">
        <v>77</v>
      </c>
      <c r="B36" s="11" t="s">
        <v>102</v>
      </c>
      <c r="C36" s="33" t="s">
        <v>114</v>
      </c>
      <c r="D36" s="49">
        <v>2</v>
      </c>
      <c r="E36" s="25">
        <f>+SUMIF(tblMasuk[Kode Barang],tblKatalog[[#This Row],[Kode Barang]],tblMasuk[Jumlah Masuk])</f>
        <v>0</v>
      </c>
      <c r="F36" s="12">
        <f>+SUMIF(tblKeluar[Kode Barang],tblKatalog[[#This Row],[Kode Barang]],tblKeluar[Jumlah Keluar])</f>
        <v>0</v>
      </c>
      <c r="G36" s="49">
        <f>+tblKatalog[[#This Row],[Awal]]+tblKatalog[[#This Row],[Masuk]]-tblKatalog[[#This Row],[Keluar]]</f>
        <v>2</v>
      </c>
      <c r="I36" s="2">
        <v>2</v>
      </c>
    </row>
    <row r="37" spans="1:9" x14ac:dyDescent="0.25">
      <c r="A37" s="11" t="s">
        <v>78</v>
      </c>
      <c r="B37" s="11" t="s">
        <v>103</v>
      </c>
      <c r="C37" s="33" t="s">
        <v>114</v>
      </c>
      <c r="D37" s="49">
        <v>1</v>
      </c>
      <c r="E37" s="16">
        <f>+SUMIF(tblMasuk[Kode Barang],tblKatalog[[#This Row],[Kode Barang]],tblMasuk[Jumlah Masuk])</f>
        <v>0</v>
      </c>
      <c r="F37" s="12">
        <f>+SUMIF(tblKeluar[Kode Barang],tblKatalog[[#This Row],[Kode Barang]],tblKeluar[Jumlah Keluar])</f>
        <v>0</v>
      </c>
      <c r="G37" s="49">
        <f>+tblKatalog[[#This Row],[Awal]]+tblKatalog[[#This Row],[Masuk]]-tblKatalog[[#This Row],[Keluar]]</f>
        <v>1</v>
      </c>
      <c r="I37" s="2">
        <v>1</v>
      </c>
    </row>
    <row r="38" spans="1:9" x14ac:dyDescent="0.25">
      <c r="A38" s="11" t="s">
        <v>79</v>
      </c>
      <c r="B38" s="11" t="s">
        <v>104</v>
      </c>
      <c r="C38" s="33" t="s">
        <v>114</v>
      </c>
      <c r="D38" s="49">
        <v>29</v>
      </c>
      <c r="E38" s="25">
        <f>+SUMIF(tblMasuk[Kode Barang],tblKatalog[[#This Row],[Kode Barang]],tblMasuk[Jumlah Masuk])</f>
        <v>0</v>
      </c>
      <c r="F38" s="12">
        <f>+SUMIF(tblKeluar[Kode Barang],tblKatalog[[#This Row],[Kode Barang]],tblKeluar[Jumlah Keluar])</f>
        <v>8</v>
      </c>
      <c r="G38" s="49">
        <f>+tblKatalog[[#This Row],[Awal]]+tblKatalog[[#This Row],[Masuk]]-tblKatalog[[#This Row],[Keluar]]</f>
        <v>21</v>
      </c>
      <c r="I38" s="2">
        <v>7</v>
      </c>
    </row>
    <row r="39" spans="1:9" x14ac:dyDescent="0.25">
      <c r="A39" s="11" t="s">
        <v>105</v>
      </c>
      <c r="B39" s="11" t="s">
        <v>113</v>
      </c>
      <c r="C39" s="33" t="s">
        <v>114</v>
      </c>
      <c r="D39" s="49">
        <v>21</v>
      </c>
      <c r="E39" s="25">
        <f>+SUMIF(tblMasuk[Kode Barang],tblKatalog[[#This Row],[Kode Barang]],tblMasuk[Jumlah Masuk])</f>
        <v>0</v>
      </c>
      <c r="F39" s="12">
        <f>+SUMIF(tblKeluar[Kode Barang],tblKatalog[[#This Row],[Kode Barang]],tblKeluar[Jumlah Keluar])</f>
        <v>2</v>
      </c>
      <c r="G39" s="49">
        <f>+tblKatalog[[#This Row],[Awal]]+tblKatalog[[#This Row],[Masuk]]-tblKatalog[[#This Row],[Keluar]]</f>
        <v>19</v>
      </c>
      <c r="I39" s="2">
        <v>7</v>
      </c>
    </row>
    <row r="40" spans="1:9" x14ac:dyDescent="0.25">
      <c r="A40" s="11" t="s">
        <v>106</v>
      </c>
      <c r="B40" s="11" t="s">
        <v>119</v>
      </c>
      <c r="C40" s="11" t="s">
        <v>118</v>
      </c>
      <c r="D40" s="49">
        <v>9</v>
      </c>
      <c r="E40" s="25">
        <f>+SUMIF(tblMasuk[Kode Barang],tblKatalog[[#This Row],[Kode Barang]],tblMasuk[Jumlah Masuk])</f>
        <v>12</v>
      </c>
      <c r="F40" s="12">
        <f>+SUMIF(tblKeluar[Kode Barang],tblKatalog[[#This Row],[Kode Barang]],tblKeluar[Jumlah Keluar])</f>
        <v>4</v>
      </c>
      <c r="G40" s="49">
        <f>+tblKatalog[[#This Row],[Awal]]+tblKatalog[[#This Row],[Masuk]]-tblKatalog[[#This Row],[Keluar]]</f>
        <v>17</v>
      </c>
      <c r="I40" s="2">
        <v>39</v>
      </c>
    </row>
    <row r="41" spans="1:9" x14ac:dyDescent="0.25">
      <c r="A41" s="11" t="s">
        <v>107</v>
      </c>
      <c r="B41" s="11" t="s">
        <v>116</v>
      </c>
      <c r="C41" s="11" t="s">
        <v>120</v>
      </c>
      <c r="D41" s="49">
        <v>2</v>
      </c>
      <c r="E41" s="25">
        <f>+SUMIF(tblMasuk[Kode Barang],tblKatalog[[#This Row],[Kode Barang]],tblMasuk[Jumlah Masuk])</f>
        <v>0</v>
      </c>
      <c r="F41" s="12">
        <f>+SUMIF(tblKeluar[Kode Barang],tblKatalog[[#This Row],[Kode Barang]],tblKeluar[Jumlah Keluar])</f>
        <v>0</v>
      </c>
      <c r="G41" s="49">
        <f>+tblKatalog[[#This Row],[Awal]]+tblKatalog[[#This Row],[Masuk]]-tblKatalog[[#This Row],[Keluar]]</f>
        <v>2</v>
      </c>
      <c r="I41" s="2">
        <v>2</v>
      </c>
    </row>
    <row r="42" spans="1:9" x14ac:dyDescent="0.25">
      <c r="A42" s="11" t="s">
        <v>108</v>
      </c>
      <c r="B42" s="11" t="s">
        <v>335</v>
      </c>
      <c r="C42" s="11" t="s">
        <v>117</v>
      </c>
      <c r="D42" s="49">
        <v>16</v>
      </c>
      <c r="E42" s="25">
        <f>+SUMIF(tblMasuk[Kode Barang],tblKatalog[[#This Row],[Kode Barang]],tblMasuk[Jumlah Masuk])</f>
        <v>12</v>
      </c>
      <c r="F42" s="12">
        <f>+SUMIF(tblKeluar[Kode Barang],tblKatalog[[#This Row],[Kode Barang]],tblKeluar[Jumlah Keluar])</f>
        <v>8</v>
      </c>
      <c r="G42" s="49">
        <f>+tblKatalog[[#This Row],[Awal]]+tblKatalog[[#This Row],[Masuk]]-tblKatalog[[#This Row],[Keluar]]</f>
        <v>20</v>
      </c>
      <c r="I42" s="2">
        <v>16</v>
      </c>
    </row>
    <row r="43" spans="1:9" x14ac:dyDescent="0.25">
      <c r="A43" s="11" t="s">
        <v>109</v>
      </c>
      <c r="B43" s="11" t="s">
        <v>121</v>
      </c>
      <c r="C43" s="11" t="s">
        <v>122</v>
      </c>
      <c r="D43" s="49">
        <v>0</v>
      </c>
      <c r="E43" s="25">
        <f>+SUMIF(tblMasuk[Kode Barang],tblKatalog[[#This Row],[Kode Barang]],tblMasuk[Jumlah Masuk])</f>
        <v>0</v>
      </c>
      <c r="F43" s="12">
        <f>+SUMIF(tblKeluar[Kode Barang],tblKatalog[[#This Row],[Kode Barang]],tblKeluar[Jumlah Keluar])</f>
        <v>0</v>
      </c>
      <c r="G43" s="49">
        <f>+tblKatalog[[#This Row],[Awal]]+tblKatalog[[#This Row],[Masuk]]-tblKatalog[[#This Row],[Keluar]]</f>
        <v>0</v>
      </c>
      <c r="I43" s="2">
        <v>0</v>
      </c>
    </row>
    <row r="44" spans="1:9" x14ac:dyDescent="0.25">
      <c r="A44" s="11" t="s">
        <v>110</v>
      </c>
      <c r="B44" s="11" t="s">
        <v>123</v>
      </c>
      <c r="C44" s="11" t="s">
        <v>124</v>
      </c>
      <c r="D44" s="49">
        <v>15</v>
      </c>
      <c r="E44" s="25">
        <f>+SUMIF(tblMasuk[Kode Barang],tblKatalog[[#This Row],[Kode Barang]],tblMasuk[Jumlah Masuk])</f>
        <v>0</v>
      </c>
      <c r="F44" s="12">
        <f>+SUMIF(tblKeluar[Kode Barang],tblKatalog[[#This Row],[Kode Barang]],tblKeluar[Jumlah Keluar])</f>
        <v>5</v>
      </c>
      <c r="G44" s="49">
        <f>+tblKatalog[[#This Row],[Awal]]+tblKatalog[[#This Row],[Masuk]]-tblKatalog[[#This Row],[Keluar]]</f>
        <v>10</v>
      </c>
      <c r="I44" s="2">
        <v>12</v>
      </c>
    </row>
    <row r="45" spans="1:9" x14ac:dyDescent="0.25">
      <c r="A45" s="11" t="s">
        <v>111</v>
      </c>
      <c r="B45" s="11" t="s">
        <v>131</v>
      </c>
      <c r="C45" s="11" t="s">
        <v>130</v>
      </c>
      <c r="D45" s="49">
        <v>40</v>
      </c>
      <c r="E45" s="25">
        <f>+SUMIF(tblMasuk[Kode Barang],tblKatalog[[#This Row],[Kode Barang]],tblMasuk[Jumlah Masuk])</f>
        <v>82</v>
      </c>
      <c r="F45" s="12">
        <f>+SUMIF(tblKeluar[Kode Barang],tblKatalog[[#This Row],[Kode Barang]],tblKeluar[Jumlah Keluar])</f>
        <v>91</v>
      </c>
      <c r="G45" s="49">
        <f>+tblKatalog[[#This Row],[Awal]]+tblKatalog[[#This Row],[Masuk]]-tblKatalog[[#This Row],[Keluar]]</f>
        <v>31</v>
      </c>
      <c r="I45" s="2">
        <v>12</v>
      </c>
    </row>
    <row r="46" spans="1:9" x14ac:dyDescent="0.25">
      <c r="A46" s="11" t="s">
        <v>112</v>
      </c>
      <c r="B46" s="11" t="s">
        <v>132</v>
      </c>
      <c r="C46" s="11" t="s">
        <v>133</v>
      </c>
      <c r="D46" s="49">
        <v>0</v>
      </c>
      <c r="E46" s="25">
        <f>+SUMIF(tblMasuk[Kode Barang],tblKatalog[[#This Row],[Kode Barang]],tblMasuk[Jumlah Masuk])</f>
        <v>0</v>
      </c>
      <c r="F46" s="12">
        <f>+SUMIF(tblKeluar[Kode Barang],tblKatalog[[#This Row],[Kode Barang]],tblKeluar[Jumlah Keluar])</f>
        <v>0</v>
      </c>
      <c r="G46" s="49">
        <f>+tblKatalog[[#This Row],[Awal]]+tblKatalog[[#This Row],[Masuk]]-tblKatalog[[#This Row],[Keluar]]</f>
        <v>0</v>
      </c>
      <c r="I46" s="2">
        <v>0</v>
      </c>
    </row>
    <row r="47" spans="1:9" x14ac:dyDescent="0.25">
      <c r="A47" s="11" t="s">
        <v>125</v>
      </c>
      <c r="B47" s="11" t="s">
        <v>134</v>
      </c>
      <c r="C47" s="11" t="s">
        <v>133</v>
      </c>
      <c r="D47" s="49">
        <v>0</v>
      </c>
      <c r="E47" s="25">
        <f>+SUMIF(tblMasuk[Kode Barang],tblKatalog[[#This Row],[Kode Barang]],tblMasuk[Jumlah Masuk])</f>
        <v>0</v>
      </c>
      <c r="F47" s="12">
        <f>+SUMIF(tblKeluar[Kode Barang],tblKatalog[[#This Row],[Kode Barang]],tblKeluar[Jumlah Keluar])</f>
        <v>0</v>
      </c>
      <c r="G47" s="49">
        <f>+tblKatalog[[#This Row],[Awal]]+tblKatalog[[#This Row],[Masuk]]-tblKatalog[[#This Row],[Keluar]]</f>
        <v>0</v>
      </c>
      <c r="I47" s="2">
        <v>0</v>
      </c>
    </row>
    <row r="48" spans="1:9" x14ac:dyDescent="0.25">
      <c r="A48" s="11" t="s">
        <v>126</v>
      </c>
      <c r="B48" s="11" t="s">
        <v>146</v>
      </c>
      <c r="C48" s="44" t="s">
        <v>60</v>
      </c>
      <c r="D48" s="49">
        <v>1</v>
      </c>
      <c r="E48" s="25">
        <f>+SUMIF(tblMasuk[Kode Barang],tblKatalog[[#This Row],[Kode Barang]],tblMasuk[Jumlah Masuk])</f>
        <v>0</v>
      </c>
      <c r="F48" s="12">
        <f>+SUMIF(tblKeluar[Kode Barang],tblKatalog[[#This Row],[Kode Barang]],tblKeluar[Jumlah Keluar])</f>
        <v>0</v>
      </c>
      <c r="G48" s="49">
        <f>+tblKatalog[[#This Row],[Awal]]+tblKatalog[[#This Row],[Masuk]]-tblKatalog[[#This Row],[Keluar]]</f>
        <v>1</v>
      </c>
      <c r="I48" s="2">
        <v>0</v>
      </c>
    </row>
    <row r="49" spans="1:9" x14ac:dyDescent="0.25">
      <c r="A49" s="11" t="s">
        <v>127</v>
      </c>
      <c r="B49" s="11" t="s">
        <v>135</v>
      </c>
      <c r="C49" s="44" t="s">
        <v>136</v>
      </c>
      <c r="D49" s="49">
        <v>2</v>
      </c>
      <c r="E49" s="25">
        <f>+SUMIF(tblMasuk[Kode Barang],tblKatalog[[#This Row],[Kode Barang]],tblMasuk[Jumlah Masuk])</f>
        <v>1</v>
      </c>
      <c r="F49" s="12">
        <f>+SUMIF(tblKeluar[Kode Barang],tblKatalog[[#This Row],[Kode Barang]],tblKeluar[Jumlah Keluar])</f>
        <v>1</v>
      </c>
      <c r="G49" s="49">
        <f>+tblKatalog[[#This Row],[Awal]]+tblKatalog[[#This Row],[Masuk]]-tblKatalog[[#This Row],[Keluar]]</f>
        <v>2</v>
      </c>
      <c r="I49" s="2">
        <v>0</v>
      </c>
    </row>
    <row r="50" spans="1:9" x14ac:dyDescent="0.25">
      <c r="A50" s="11" t="s">
        <v>128</v>
      </c>
      <c r="B50" s="11" t="s">
        <v>138</v>
      </c>
      <c r="C50" s="11" t="s">
        <v>139</v>
      </c>
      <c r="D50" s="49">
        <v>10</v>
      </c>
      <c r="E50" s="25">
        <f>+SUMIF(tblMasuk[Kode Barang],tblKatalog[[#This Row],[Kode Barang]],tblMasuk[Jumlah Masuk])</f>
        <v>0</v>
      </c>
      <c r="F50" s="12">
        <f>+SUMIF(tblKeluar[Kode Barang],tblKatalog[[#This Row],[Kode Barang]],tblKeluar[Jumlah Keluar])</f>
        <v>0</v>
      </c>
      <c r="G50" s="49">
        <f>+tblKatalog[[#This Row],[Awal]]+tblKatalog[[#This Row],[Masuk]]-tblKatalog[[#This Row],[Keluar]]</f>
        <v>10</v>
      </c>
      <c r="I50" s="2">
        <v>1</v>
      </c>
    </row>
    <row r="51" spans="1:9" x14ac:dyDescent="0.25">
      <c r="A51" s="11" t="s">
        <v>129</v>
      </c>
      <c r="B51" s="11" t="s">
        <v>242</v>
      </c>
      <c r="C51" s="44" t="s">
        <v>60</v>
      </c>
      <c r="D51" s="49">
        <v>1</v>
      </c>
      <c r="E51" s="25">
        <f>+SUMIF(tblMasuk[Kode Barang],tblKatalog[[#This Row],[Kode Barang]],tblMasuk[Jumlah Masuk])</f>
        <v>3</v>
      </c>
      <c r="F51" s="12">
        <f>+SUMIF(tblKeluar[Kode Barang],tblKatalog[[#This Row],[Kode Barang]],tblKeluar[Jumlah Keluar])</f>
        <v>3</v>
      </c>
      <c r="G51" s="49">
        <f>+tblKatalog[[#This Row],[Awal]]+tblKatalog[[#This Row],[Masuk]]-tblKatalog[[#This Row],[Keluar]]</f>
        <v>1</v>
      </c>
      <c r="I51" s="2">
        <v>0</v>
      </c>
    </row>
    <row r="52" spans="1:9" x14ac:dyDescent="0.25">
      <c r="A52" s="11" t="s">
        <v>137</v>
      </c>
      <c r="B52" s="11" t="s">
        <v>243</v>
      </c>
      <c r="C52" s="44" t="s">
        <v>60</v>
      </c>
      <c r="D52" s="49">
        <v>1</v>
      </c>
      <c r="E52" s="25">
        <f>+SUMIF(tblMasuk[Kode Barang],tblKatalog[[#This Row],[Kode Barang]],tblMasuk[Jumlah Masuk])</f>
        <v>0</v>
      </c>
      <c r="F52" s="12">
        <f>+SUMIF(tblKeluar[Kode Barang],tblKatalog[[#This Row],[Kode Barang]],tblKeluar[Jumlah Keluar])</f>
        <v>0</v>
      </c>
      <c r="G52" s="49">
        <f>+tblKatalog[[#This Row],[Awal]]+tblKatalog[[#This Row],[Masuk]]-tblKatalog[[#This Row],[Keluar]]</f>
        <v>1</v>
      </c>
      <c r="I52" s="2">
        <v>0</v>
      </c>
    </row>
    <row r="53" spans="1:9" x14ac:dyDescent="0.25">
      <c r="A53" s="11" t="s">
        <v>140</v>
      </c>
      <c r="B53" s="11" t="s">
        <v>244</v>
      </c>
      <c r="C53" s="44" t="s">
        <v>60</v>
      </c>
      <c r="D53" s="49">
        <v>0</v>
      </c>
      <c r="E53" s="25">
        <f>+SUMIF(tblMasuk[Kode Barang],tblKatalog[[#This Row],[Kode Barang]],tblMasuk[Jumlah Masuk])</f>
        <v>0</v>
      </c>
      <c r="F53" s="12">
        <f>+SUMIF(tblKeluar[Kode Barang],tblKatalog[[#This Row],[Kode Barang]],tblKeluar[Jumlah Keluar])</f>
        <v>0</v>
      </c>
      <c r="G53" s="49">
        <f>+tblKatalog[[#This Row],[Awal]]+tblKatalog[[#This Row],[Masuk]]-tblKatalog[[#This Row],[Keluar]]</f>
        <v>0</v>
      </c>
      <c r="I53" s="2">
        <v>0</v>
      </c>
    </row>
    <row r="54" spans="1:9" x14ac:dyDescent="0.25">
      <c r="A54" s="11" t="s">
        <v>141</v>
      </c>
      <c r="B54" s="11" t="s">
        <v>154</v>
      </c>
      <c r="C54" s="44" t="s">
        <v>155</v>
      </c>
      <c r="D54" s="49">
        <v>7</v>
      </c>
      <c r="E54" s="25">
        <f>+SUMIF(tblMasuk[Kode Barang],tblKatalog[[#This Row],[Kode Barang]],tblMasuk[Jumlah Masuk])</f>
        <v>0</v>
      </c>
      <c r="F54" s="12">
        <f>+SUMIF(tblKeluar[Kode Barang],tblKatalog[[#This Row],[Kode Barang]],tblKeluar[Jumlah Keluar])</f>
        <v>2</v>
      </c>
      <c r="G54" s="49">
        <f>+tblKatalog[[#This Row],[Awal]]+tblKatalog[[#This Row],[Masuk]]-tblKatalog[[#This Row],[Keluar]]</f>
        <v>5</v>
      </c>
      <c r="I54" s="2">
        <v>5</v>
      </c>
    </row>
    <row r="55" spans="1:9" x14ac:dyDescent="0.25">
      <c r="A55" s="11" t="s">
        <v>142</v>
      </c>
      <c r="B55" s="11" t="s">
        <v>156</v>
      </c>
      <c r="C55" s="33" t="s">
        <v>57</v>
      </c>
      <c r="D55" s="49">
        <v>3</v>
      </c>
      <c r="E55" s="25">
        <f>+SUMIF(tblMasuk[Kode Barang],tblKatalog[[#This Row],[Kode Barang]],tblMasuk[Jumlah Masuk])</f>
        <v>0</v>
      </c>
      <c r="F55" s="12">
        <f>+SUMIF(tblKeluar[Kode Barang],tblKatalog[[#This Row],[Kode Barang]],tblKeluar[Jumlah Keluar])</f>
        <v>0</v>
      </c>
      <c r="G55" s="49">
        <f>+tblKatalog[[#This Row],[Awal]]+tblKatalog[[#This Row],[Masuk]]-tblKatalog[[#This Row],[Keluar]]</f>
        <v>3</v>
      </c>
      <c r="I55" s="2">
        <v>4</v>
      </c>
    </row>
    <row r="56" spans="1:9" x14ac:dyDescent="0.25">
      <c r="A56" s="11" t="s">
        <v>143</v>
      </c>
      <c r="B56" s="11" t="s">
        <v>157</v>
      </c>
      <c r="C56" s="33" t="s">
        <v>99</v>
      </c>
      <c r="D56" s="49">
        <v>0</v>
      </c>
      <c r="E56" s="25">
        <f>+SUMIF(tblMasuk[Kode Barang],tblKatalog[[#This Row],[Kode Barang]],tblMasuk[Jumlah Masuk])</f>
        <v>0</v>
      </c>
      <c r="F56" s="12">
        <f>+SUMIF(tblKeluar[Kode Barang],tblKatalog[[#This Row],[Kode Barang]],tblKeluar[Jumlah Keluar])</f>
        <v>0</v>
      </c>
      <c r="G56" s="49">
        <f>+tblKatalog[[#This Row],[Awal]]+tblKatalog[[#This Row],[Masuk]]-tblKatalog[[#This Row],[Keluar]]</f>
        <v>0</v>
      </c>
      <c r="I56" s="2">
        <v>0</v>
      </c>
    </row>
    <row r="57" spans="1:9" x14ac:dyDescent="0.25">
      <c r="A57" s="11" t="s">
        <v>144</v>
      </c>
      <c r="B57" s="11" t="s">
        <v>158</v>
      </c>
      <c r="C57" s="33" t="s">
        <v>56</v>
      </c>
      <c r="D57" s="49">
        <v>0</v>
      </c>
      <c r="E57" s="25">
        <f>+SUMIF(tblMasuk[Kode Barang],tblKatalog[[#This Row],[Kode Barang]],tblMasuk[Jumlah Masuk])</f>
        <v>0</v>
      </c>
      <c r="F57" s="12">
        <f>+SUMIF(tblKeluar[Kode Barang],tblKatalog[[#This Row],[Kode Barang]],tblKeluar[Jumlah Keluar])</f>
        <v>0</v>
      </c>
      <c r="G57" s="49">
        <f>+tblKatalog[[#This Row],[Awal]]+tblKatalog[[#This Row],[Masuk]]-tblKatalog[[#This Row],[Keluar]]</f>
        <v>0</v>
      </c>
      <c r="I57" s="2">
        <v>0</v>
      </c>
    </row>
    <row r="58" spans="1:9" x14ac:dyDescent="0.25">
      <c r="A58" s="11" t="s">
        <v>145</v>
      </c>
      <c r="B58" s="11" t="s">
        <v>160</v>
      </c>
      <c r="C58" s="33" t="s">
        <v>99</v>
      </c>
      <c r="D58" s="49">
        <v>0</v>
      </c>
      <c r="E58" s="25">
        <f>+SUMIF(tblMasuk[Kode Barang],tblKatalog[[#This Row],[Kode Barang]],tblMasuk[Jumlah Masuk])</f>
        <v>0</v>
      </c>
      <c r="F58" s="12">
        <f>+SUMIF(tblKeluar[Kode Barang],tblKatalog[[#This Row],[Kode Barang]],tblKeluar[Jumlah Keluar])</f>
        <v>0</v>
      </c>
      <c r="G58" s="49">
        <f>+tblKatalog[[#This Row],[Awal]]+tblKatalog[[#This Row],[Masuk]]-tblKatalog[[#This Row],[Keluar]]</f>
        <v>0</v>
      </c>
      <c r="I58" s="2">
        <v>0</v>
      </c>
    </row>
    <row r="59" spans="1:9" x14ac:dyDescent="0.25">
      <c r="A59" s="11" t="s">
        <v>147</v>
      </c>
      <c r="B59" s="11" t="s">
        <v>163</v>
      </c>
      <c r="C59" s="11" t="s">
        <v>161</v>
      </c>
      <c r="D59" s="49">
        <v>110</v>
      </c>
      <c r="E59" s="25">
        <f>+SUMIF(tblMasuk[Kode Barang],tblKatalog[[#This Row],[Kode Barang]],tblMasuk[Jumlah Masuk])</f>
        <v>125</v>
      </c>
      <c r="F59" s="12">
        <f>+SUMIF(tblKeluar[Kode Barang],tblKatalog[[#This Row],[Kode Barang]],tblKeluar[Jumlah Keluar])</f>
        <v>124</v>
      </c>
      <c r="G59" s="49">
        <f>+tblKatalog[[#This Row],[Awal]]+tblKatalog[[#This Row],[Masuk]]-tblKatalog[[#This Row],[Keluar]]</f>
        <v>111</v>
      </c>
    </row>
    <row r="60" spans="1:9" x14ac:dyDescent="0.25">
      <c r="A60" s="11" t="s">
        <v>148</v>
      </c>
      <c r="B60" s="11" t="s">
        <v>164</v>
      </c>
      <c r="C60" s="11" t="s">
        <v>162</v>
      </c>
      <c r="D60" s="49">
        <v>4</v>
      </c>
      <c r="E60" s="25">
        <f>+SUMIF(tblMasuk[Kode Barang],tblKatalog[[#This Row],[Kode Barang]],tblMasuk[Jumlah Masuk])</f>
        <v>0</v>
      </c>
      <c r="F60" s="12">
        <f>+SUMIF(tblKeluar[Kode Barang],tblKatalog[[#This Row],[Kode Barang]],tblKeluar[Jumlah Keluar])</f>
        <v>1</v>
      </c>
      <c r="G60" s="49">
        <f>+tblKatalog[[#This Row],[Awal]]+tblKatalog[[#This Row],[Masuk]]-tblKatalog[[#This Row],[Keluar]]</f>
        <v>3</v>
      </c>
    </row>
    <row r="61" spans="1:9" x14ac:dyDescent="0.25">
      <c r="A61" s="11" t="s">
        <v>149</v>
      </c>
      <c r="B61" s="11" t="s">
        <v>165</v>
      </c>
      <c r="C61" s="11" t="s">
        <v>166</v>
      </c>
      <c r="D61" s="49">
        <v>1</v>
      </c>
      <c r="E61" s="25">
        <f>+SUMIF(tblMasuk[Kode Barang],tblKatalog[[#This Row],[Kode Barang]],tblMasuk[Jumlah Masuk])</f>
        <v>0</v>
      </c>
      <c r="F61" s="12">
        <f>+SUMIF(tblKeluar[Kode Barang],tblKatalog[[#This Row],[Kode Barang]],tblKeluar[Jumlah Keluar])</f>
        <v>0</v>
      </c>
      <c r="G61" s="49">
        <f>+tblKatalog[[#This Row],[Awal]]+tblKatalog[[#This Row],[Masuk]]-tblKatalog[[#This Row],[Keluar]]</f>
        <v>1</v>
      </c>
      <c r="I61" s="2">
        <v>1</v>
      </c>
    </row>
    <row r="62" spans="1:9" x14ac:dyDescent="0.25">
      <c r="A62" s="11" t="s">
        <v>150</v>
      </c>
      <c r="B62" s="11" t="s">
        <v>167</v>
      </c>
      <c r="C62" s="11" t="s">
        <v>168</v>
      </c>
      <c r="D62" s="49">
        <v>0</v>
      </c>
      <c r="E62" s="25">
        <f>+SUMIF(tblMasuk[Kode Barang],tblKatalog[[#This Row],[Kode Barang]],tblMasuk[Jumlah Masuk])</f>
        <v>0</v>
      </c>
      <c r="F62" s="12">
        <f>+SUMIF(tblKeluar[Kode Barang],tblKatalog[[#This Row],[Kode Barang]],tblKeluar[Jumlah Keluar])</f>
        <v>0</v>
      </c>
      <c r="G62" s="49">
        <f>+tblKatalog[[#This Row],[Awal]]+tblKatalog[[#This Row],[Masuk]]-tblKatalog[[#This Row],[Keluar]]</f>
        <v>0</v>
      </c>
      <c r="I62" s="2">
        <v>0</v>
      </c>
    </row>
    <row r="63" spans="1:9" x14ac:dyDescent="0.25">
      <c r="A63" s="11" t="s">
        <v>151</v>
      </c>
      <c r="B63" s="11" t="s">
        <v>169</v>
      </c>
      <c r="C63" s="11" t="s">
        <v>229</v>
      </c>
      <c r="D63" s="49">
        <v>4</v>
      </c>
      <c r="E63" s="25">
        <f>+SUMIF(tblMasuk[Kode Barang],tblKatalog[[#This Row],[Kode Barang]],tblMasuk[Jumlah Masuk])</f>
        <v>0</v>
      </c>
      <c r="F63" s="12">
        <f>+SUMIF(tblKeluar[Kode Barang],tblKatalog[[#This Row],[Kode Barang]],tblKeluar[Jumlah Keluar])</f>
        <v>0</v>
      </c>
      <c r="G63" s="49">
        <f>+tblKatalog[[#This Row],[Awal]]+tblKatalog[[#This Row],[Masuk]]-tblKatalog[[#This Row],[Keluar]]</f>
        <v>4</v>
      </c>
      <c r="I63" s="2">
        <v>8</v>
      </c>
    </row>
    <row r="64" spans="1:9" x14ac:dyDescent="0.25">
      <c r="A64" s="11" t="s">
        <v>152</v>
      </c>
      <c r="B64" s="11" t="s">
        <v>188</v>
      </c>
      <c r="C64" s="43" t="s">
        <v>226</v>
      </c>
      <c r="D64" s="49">
        <v>0</v>
      </c>
      <c r="E64" s="25">
        <f>+SUMIF(tblMasuk[Kode Barang],tblKatalog[[#This Row],[Kode Barang]],tblMasuk[Jumlah Masuk])</f>
        <v>7</v>
      </c>
      <c r="F64" s="12">
        <f>+SUMIF(tblKeluar[Kode Barang],tblKatalog[[#This Row],[Kode Barang]],tblKeluar[Jumlah Keluar])</f>
        <v>7</v>
      </c>
      <c r="G64" s="49">
        <f>+tblKatalog[[#This Row],[Awal]]+tblKatalog[[#This Row],[Masuk]]-tblKatalog[[#This Row],[Keluar]]</f>
        <v>0</v>
      </c>
      <c r="I64" s="2">
        <v>0</v>
      </c>
    </row>
    <row r="65" spans="1:9" x14ac:dyDescent="0.25">
      <c r="A65" s="11" t="s">
        <v>153</v>
      </c>
      <c r="B65" s="11" t="s">
        <v>189</v>
      </c>
      <c r="C65" s="44" t="s">
        <v>276</v>
      </c>
      <c r="D65" s="49">
        <v>6</v>
      </c>
      <c r="E65" s="25">
        <f>+SUMIF(tblMasuk[Kode Barang],tblKatalog[[#This Row],[Kode Barang]],tblMasuk[Jumlah Masuk])</f>
        <v>0</v>
      </c>
      <c r="F65" s="12">
        <f>+SUMIF(tblKeluar[Kode Barang],tblKatalog[[#This Row],[Kode Barang]],tblKeluar[Jumlah Keluar])</f>
        <v>1</v>
      </c>
      <c r="G65" s="49">
        <f>+tblKatalog[[#This Row],[Awal]]+tblKatalog[[#This Row],[Masuk]]-tblKatalog[[#This Row],[Keluar]]</f>
        <v>5</v>
      </c>
      <c r="I65" s="2">
        <v>8</v>
      </c>
    </row>
    <row r="66" spans="1:9" x14ac:dyDescent="0.25">
      <c r="A66" s="11" t="s">
        <v>159</v>
      </c>
      <c r="B66" s="11" t="s">
        <v>190</v>
      </c>
      <c r="C66" s="44" t="s">
        <v>191</v>
      </c>
      <c r="D66" s="49">
        <v>0</v>
      </c>
      <c r="E66" s="25">
        <f>+SUMIF(tblMasuk[Kode Barang],tblKatalog[[#This Row],[Kode Barang]],tblMasuk[Jumlah Masuk])</f>
        <v>0</v>
      </c>
      <c r="F66" s="12">
        <f>+SUMIF(tblKeluar[Kode Barang],tblKatalog[[#This Row],[Kode Barang]],tblKeluar[Jumlah Keluar])</f>
        <v>0</v>
      </c>
      <c r="G66" s="49">
        <f>+tblKatalog[[#This Row],[Awal]]+tblKatalog[[#This Row],[Masuk]]-tblKatalog[[#This Row],[Keluar]]</f>
        <v>0</v>
      </c>
      <c r="I66" s="2">
        <v>0</v>
      </c>
    </row>
    <row r="67" spans="1:9" x14ac:dyDescent="0.25">
      <c r="A67" s="11" t="s">
        <v>170</v>
      </c>
      <c r="B67" s="11" t="s">
        <v>192</v>
      </c>
      <c r="C67" s="44" t="s">
        <v>193</v>
      </c>
      <c r="D67" s="49">
        <v>0</v>
      </c>
      <c r="E67" s="25">
        <f>+SUMIF(tblMasuk[Kode Barang],tblKatalog[[#This Row],[Kode Barang]],tblMasuk[Jumlah Masuk])</f>
        <v>0</v>
      </c>
      <c r="F67" s="12">
        <f>+SUMIF(tblKeluar[Kode Barang],tblKatalog[[#This Row],[Kode Barang]],tblKeluar[Jumlah Keluar])</f>
        <v>0</v>
      </c>
      <c r="G67" s="49">
        <f>+tblKatalog[[#This Row],[Awal]]+tblKatalog[[#This Row],[Masuk]]-tblKatalog[[#This Row],[Keluar]]</f>
        <v>0</v>
      </c>
      <c r="I67" s="2">
        <v>0</v>
      </c>
    </row>
    <row r="68" spans="1:9" x14ac:dyDescent="0.25">
      <c r="A68" s="11" t="s">
        <v>171</v>
      </c>
      <c r="B68" s="11" t="s">
        <v>194</v>
      </c>
      <c r="C68" s="44" t="s">
        <v>195</v>
      </c>
      <c r="D68" s="49">
        <v>0</v>
      </c>
      <c r="E68" s="25">
        <f>+SUMIF(tblMasuk[Kode Barang],tblKatalog[[#This Row],[Kode Barang]],tblMasuk[Jumlah Masuk])</f>
        <v>0</v>
      </c>
      <c r="F68" s="12">
        <f>+SUMIF(tblKeluar[Kode Barang],tblKatalog[[#This Row],[Kode Barang]],tblKeluar[Jumlah Keluar])</f>
        <v>0</v>
      </c>
      <c r="G68" s="49">
        <f>+tblKatalog[[#This Row],[Awal]]+tblKatalog[[#This Row],[Masuk]]-tblKatalog[[#This Row],[Keluar]]</f>
        <v>0</v>
      </c>
      <c r="I68" s="2">
        <v>0</v>
      </c>
    </row>
    <row r="69" spans="1:9" x14ac:dyDescent="0.25">
      <c r="A69" s="11" t="s">
        <v>172</v>
      </c>
      <c r="B69" s="11" t="s">
        <v>196</v>
      </c>
      <c r="C69" s="44" t="s">
        <v>197</v>
      </c>
      <c r="D69" s="49">
        <v>0</v>
      </c>
      <c r="E69" s="25">
        <f>+SUMIF(tblMasuk[Kode Barang],tblKatalog[[#This Row],[Kode Barang]],tblMasuk[Jumlah Masuk])</f>
        <v>0</v>
      </c>
      <c r="F69" s="12">
        <f>+SUMIF(tblKeluar[Kode Barang],tblKatalog[[#This Row],[Kode Barang]],tblKeluar[Jumlah Keluar])</f>
        <v>0</v>
      </c>
      <c r="G69" s="49">
        <f>+tblKatalog[[#This Row],[Awal]]+tblKatalog[[#This Row],[Masuk]]-tblKatalog[[#This Row],[Keluar]]</f>
        <v>0</v>
      </c>
      <c r="I69" s="2">
        <v>0</v>
      </c>
    </row>
    <row r="70" spans="1:9" x14ac:dyDescent="0.25">
      <c r="A70" s="11" t="s">
        <v>173</v>
      </c>
      <c r="B70" s="11" t="s">
        <v>198</v>
      </c>
      <c r="C70" s="11" t="s">
        <v>199</v>
      </c>
      <c r="D70" s="49">
        <v>0</v>
      </c>
      <c r="E70" s="25">
        <f>+SUMIF(tblMasuk[Kode Barang],tblKatalog[[#This Row],[Kode Barang]],tblMasuk[Jumlah Masuk])</f>
        <v>0</v>
      </c>
      <c r="F70" s="12">
        <f>+SUMIF(tblKeluar[Kode Barang],tblKatalog[[#This Row],[Kode Barang]],tblKeluar[Jumlah Keluar])</f>
        <v>0</v>
      </c>
      <c r="G70" s="49">
        <f>+tblKatalog[[#This Row],[Awal]]+tblKatalog[[#This Row],[Masuk]]-tblKatalog[[#This Row],[Keluar]]</f>
        <v>0</v>
      </c>
      <c r="I70" s="2">
        <v>0</v>
      </c>
    </row>
    <row r="71" spans="1:9" x14ac:dyDescent="0.25">
      <c r="A71" s="11" t="s">
        <v>174</v>
      </c>
      <c r="B71" s="11" t="s">
        <v>200</v>
      </c>
      <c r="C71" s="11" t="s">
        <v>201</v>
      </c>
      <c r="D71" s="49">
        <v>0</v>
      </c>
      <c r="E71" s="25">
        <f>+SUMIF(tblMasuk[Kode Barang],tblKatalog[[#This Row],[Kode Barang]],tblMasuk[Jumlah Masuk])</f>
        <v>0</v>
      </c>
      <c r="F71" s="12">
        <f>+SUMIF(tblKeluar[Kode Barang],tblKatalog[[#This Row],[Kode Barang]],tblKeluar[Jumlah Keluar])</f>
        <v>0</v>
      </c>
      <c r="G71" s="49">
        <f>+tblKatalog[[#This Row],[Awal]]+tblKatalog[[#This Row],[Masuk]]-tblKatalog[[#This Row],[Keluar]]</f>
        <v>0</v>
      </c>
      <c r="I71" s="2">
        <v>0</v>
      </c>
    </row>
    <row r="72" spans="1:9" x14ac:dyDescent="0.25">
      <c r="A72" s="11" t="s">
        <v>175</v>
      </c>
      <c r="B72" s="11" t="s">
        <v>202</v>
      </c>
      <c r="C72" s="33" t="s">
        <v>114</v>
      </c>
      <c r="D72" s="49">
        <v>16</v>
      </c>
      <c r="E72" s="25">
        <f>+SUMIF(tblMasuk[Kode Barang],tblKatalog[[#This Row],[Kode Barang]],tblMasuk[Jumlah Masuk])</f>
        <v>0</v>
      </c>
      <c r="F72" s="12">
        <f>+SUMIF(tblKeluar[Kode Barang],tblKatalog[[#This Row],[Kode Barang]],tblKeluar[Jumlah Keluar])</f>
        <v>0</v>
      </c>
      <c r="G72" s="49">
        <f>+tblKatalog[[#This Row],[Awal]]+tblKatalog[[#This Row],[Masuk]]-tblKatalog[[#This Row],[Keluar]]</f>
        <v>16</v>
      </c>
      <c r="I72" s="2">
        <v>6</v>
      </c>
    </row>
    <row r="73" spans="1:9" x14ac:dyDescent="0.25">
      <c r="A73" s="11" t="s">
        <v>176</v>
      </c>
      <c r="B73" s="11" t="s">
        <v>203</v>
      </c>
      <c r="C73" s="33" t="s">
        <v>115</v>
      </c>
      <c r="D73" s="49">
        <v>0</v>
      </c>
      <c r="E73" s="25">
        <f>+SUMIF(tblMasuk[Kode Barang],tblKatalog[[#This Row],[Kode Barang]],tblMasuk[Jumlah Masuk])</f>
        <v>2</v>
      </c>
      <c r="F73" s="12">
        <f>+SUMIF(tblKeluar[Kode Barang],tblKatalog[[#This Row],[Kode Barang]],tblKeluar[Jumlah Keluar])</f>
        <v>2</v>
      </c>
      <c r="G73" s="49">
        <f>+tblKatalog[[#This Row],[Awal]]+tblKatalog[[#This Row],[Masuk]]-tblKatalog[[#This Row],[Keluar]]</f>
        <v>0</v>
      </c>
      <c r="I73" s="2">
        <v>0</v>
      </c>
    </row>
    <row r="74" spans="1:9" x14ac:dyDescent="0.25">
      <c r="A74" s="11" t="s">
        <v>177</v>
      </c>
      <c r="B74" s="11" t="s">
        <v>204</v>
      </c>
      <c r="C74" s="11" t="s">
        <v>319</v>
      </c>
      <c r="D74" s="49">
        <v>2</v>
      </c>
      <c r="E74" s="25">
        <f>+SUMIF(tblMasuk[Kode Barang],tblKatalog[[#This Row],[Kode Barang]],tblMasuk[Jumlah Masuk])</f>
        <v>5</v>
      </c>
      <c r="F74" s="12">
        <f>+SUMIF(tblKeluar[Kode Barang],tblKatalog[[#This Row],[Kode Barang]],tblKeluar[Jumlah Keluar])</f>
        <v>5</v>
      </c>
      <c r="G74" s="49">
        <f>+tblKatalog[[#This Row],[Awal]]+tblKatalog[[#This Row],[Masuk]]-tblKatalog[[#This Row],[Keluar]]</f>
        <v>2</v>
      </c>
      <c r="I74" s="2">
        <v>1</v>
      </c>
    </row>
    <row r="75" spans="1:9" x14ac:dyDescent="0.25">
      <c r="A75" s="11" t="s">
        <v>178</v>
      </c>
      <c r="B75" s="11" t="s">
        <v>205</v>
      </c>
      <c r="C75" s="11" t="s">
        <v>124</v>
      </c>
      <c r="D75" s="49">
        <v>0</v>
      </c>
      <c r="E75" s="25">
        <f>+SUMIF(tblMasuk[Kode Barang],tblKatalog[[#This Row],[Kode Barang]],tblMasuk[Jumlah Masuk])</f>
        <v>0</v>
      </c>
      <c r="F75" s="12">
        <f>+SUMIF(tblKeluar[Kode Barang],tblKatalog[[#This Row],[Kode Barang]],tblKeluar[Jumlah Keluar])</f>
        <v>0</v>
      </c>
      <c r="G75" s="49">
        <f>+tblKatalog[[#This Row],[Awal]]+tblKatalog[[#This Row],[Masuk]]-tblKatalog[[#This Row],[Keluar]]</f>
        <v>0</v>
      </c>
      <c r="I75" s="2">
        <v>0</v>
      </c>
    </row>
    <row r="76" spans="1:9" x14ac:dyDescent="0.25">
      <c r="A76" s="11" t="s">
        <v>179</v>
      </c>
      <c r="B76" s="11" t="s">
        <v>206</v>
      </c>
      <c r="C76" s="44" t="s">
        <v>207</v>
      </c>
      <c r="D76" s="49">
        <v>2</v>
      </c>
      <c r="E76" s="25">
        <f>+SUMIF(tblMasuk[Kode Barang],tblKatalog[[#This Row],[Kode Barang]],tblMasuk[Jumlah Masuk])</f>
        <v>0</v>
      </c>
      <c r="F76" s="12">
        <f>+SUMIF(tblKeluar[Kode Barang],tblKatalog[[#This Row],[Kode Barang]],tblKeluar[Jumlah Keluar])</f>
        <v>0</v>
      </c>
      <c r="G76" s="49">
        <f>+tblKatalog[[#This Row],[Awal]]+tblKatalog[[#This Row],[Masuk]]-tblKatalog[[#This Row],[Keluar]]</f>
        <v>2</v>
      </c>
      <c r="I76" s="2">
        <v>2</v>
      </c>
    </row>
    <row r="77" spans="1:9" x14ac:dyDescent="0.25">
      <c r="A77" s="11" t="s">
        <v>180</v>
      </c>
      <c r="B77" s="11" t="s">
        <v>208</v>
      </c>
      <c r="C77" s="11" t="s">
        <v>320</v>
      </c>
      <c r="D77" s="49">
        <v>5</v>
      </c>
      <c r="E77" s="25">
        <f>+SUMIF(tblMasuk[Kode Barang],tblKatalog[[#This Row],[Kode Barang]],tblMasuk[Jumlah Masuk])</f>
        <v>19</v>
      </c>
      <c r="F77" s="12">
        <f>+SUMIF(tblKeluar[Kode Barang],tblKatalog[[#This Row],[Kode Barang]],tblKeluar[Jumlah Keluar])</f>
        <v>17</v>
      </c>
      <c r="G77" s="49">
        <f>+tblKatalog[[#This Row],[Awal]]+tblKatalog[[#This Row],[Masuk]]-tblKatalog[[#This Row],[Keluar]]</f>
        <v>7</v>
      </c>
      <c r="I77" s="2">
        <v>1</v>
      </c>
    </row>
    <row r="78" spans="1:9" x14ac:dyDescent="0.25">
      <c r="A78" s="11" t="s">
        <v>181</v>
      </c>
      <c r="B78" s="11" t="s">
        <v>210</v>
      </c>
      <c r="C78" s="11" t="s">
        <v>211</v>
      </c>
      <c r="D78" s="49">
        <v>0</v>
      </c>
      <c r="E78" s="25">
        <f>+SUMIF(tblMasuk[Kode Barang],tblKatalog[[#This Row],[Kode Barang]],tblMasuk[Jumlah Masuk])</f>
        <v>13</v>
      </c>
      <c r="F78" s="12">
        <f>+SUMIF(tblKeluar[Kode Barang],tblKatalog[[#This Row],[Kode Barang]],tblKeluar[Jumlah Keluar])</f>
        <v>13</v>
      </c>
      <c r="G78" s="49">
        <f>+tblKatalog[[#This Row],[Awal]]+tblKatalog[[#This Row],[Masuk]]-tblKatalog[[#This Row],[Keluar]]</f>
        <v>0</v>
      </c>
      <c r="I78" s="2">
        <v>11</v>
      </c>
    </row>
    <row r="79" spans="1:9" x14ac:dyDescent="0.25">
      <c r="A79" s="11" t="s">
        <v>182</v>
      </c>
      <c r="B79" s="11" t="s">
        <v>212</v>
      </c>
      <c r="C79" s="11" t="s">
        <v>213</v>
      </c>
      <c r="D79" s="49">
        <v>0</v>
      </c>
      <c r="E79" s="25">
        <f>+SUMIF(tblMasuk[Kode Barang],tblKatalog[[#This Row],[Kode Barang]],tblMasuk[Jumlah Masuk])</f>
        <v>0</v>
      </c>
      <c r="F79" s="12">
        <f>+SUMIF(tblKeluar[Kode Barang],tblKatalog[[#This Row],[Kode Barang]],tblKeluar[Jumlah Keluar])</f>
        <v>0</v>
      </c>
      <c r="G79" s="49">
        <f>+tblKatalog[[#This Row],[Awal]]+tblKatalog[[#This Row],[Masuk]]-tblKatalog[[#This Row],[Keluar]]</f>
        <v>0</v>
      </c>
      <c r="I79" s="2">
        <v>0</v>
      </c>
    </row>
    <row r="80" spans="1:9" x14ac:dyDescent="0.25">
      <c r="A80" s="11" t="s">
        <v>183</v>
      </c>
      <c r="B80" s="11" t="s">
        <v>214</v>
      </c>
      <c r="C80" s="11" t="s">
        <v>215</v>
      </c>
      <c r="D80" s="49">
        <v>0</v>
      </c>
      <c r="E80" s="25">
        <f>+SUMIF(tblMasuk[Kode Barang],tblKatalog[[#This Row],[Kode Barang]],tblMasuk[Jumlah Masuk])</f>
        <v>0</v>
      </c>
      <c r="F80" s="12">
        <f>+SUMIF(tblKeluar[Kode Barang],tblKatalog[[#This Row],[Kode Barang]],tblKeluar[Jumlah Keluar])</f>
        <v>0</v>
      </c>
      <c r="G80" s="49">
        <f>+tblKatalog[[#This Row],[Awal]]+tblKatalog[[#This Row],[Masuk]]-tblKatalog[[#This Row],[Keluar]]</f>
        <v>0</v>
      </c>
      <c r="I80" s="2">
        <v>0</v>
      </c>
    </row>
    <row r="81" spans="1:18" x14ac:dyDescent="0.25">
      <c r="A81" s="11" t="s">
        <v>184</v>
      </c>
      <c r="B81" s="11" t="s">
        <v>216</v>
      </c>
      <c r="C81" s="11" t="s">
        <v>217</v>
      </c>
      <c r="D81" s="49">
        <v>5</v>
      </c>
      <c r="E81" s="25">
        <f>+SUMIF(tblMasuk[Kode Barang],tblKatalog[[#This Row],[Kode Barang]],tblMasuk[Jumlah Masuk])</f>
        <v>0</v>
      </c>
      <c r="F81" s="12">
        <f>+SUMIF(tblKeluar[Kode Barang],tblKatalog[[#This Row],[Kode Barang]],tblKeluar[Jumlah Keluar])</f>
        <v>2</v>
      </c>
      <c r="G81" s="49">
        <f>+tblKatalog[[#This Row],[Awal]]+tblKatalog[[#This Row],[Masuk]]-tblKatalog[[#This Row],[Keluar]]</f>
        <v>3</v>
      </c>
      <c r="I81" s="2" t="s">
        <v>427</v>
      </c>
    </row>
    <row r="82" spans="1:18" x14ac:dyDescent="0.25">
      <c r="A82" s="11" t="s">
        <v>185</v>
      </c>
      <c r="B82" s="11" t="s">
        <v>218</v>
      </c>
      <c r="C82" s="44" t="s">
        <v>219</v>
      </c>
      <c r="D82" s="49">
        <v>0</v>
      </c>
      <c r="E82" s="25">
        <f>+SUMIF(tblMasuk[Kode Barang],tblKatalog[[#This Row],[Kode Barang]],tblMasuk[Jumlah Masuk])</f>
        <v>0</v>
      </c>
      <c r="F82" s="12">
        <f>+SUMIF(tblKeluar[Kode Barang],tblKatalog[[#This Row],[Kode Barang]],tblKeluar[Jumlah Keluar])</f>
        <v>0</v>
      </c>
      <c r="G82" s="49">
        <f>+tblKatalog[[#This Row],[Awal]]+tblKatalog[[#This Row],[Masuk]]-tblKatalog[[#This Row],[Keluar]]</f>
        <v>0</v>
      </c>
      <c r="I82" s="2">
        <v>0</v>
      </c>
    </row>
    <row r="83" spans="1:18" x14ac:dyDescent="0.25">
      <c r="A83" s="11" t="s">
        <v>186</v>
      </c>
      <c r="B83" s="11" t="s">
        <v>224</v>
      </c>
      <c r="C83" s="11" t="s">
        <v>56</v>
      </c>
      <c r="D83" s="49">
        <v>6</v>
      </c>
      <c r="E83" s="25">
        <f>+SUMIF(tblMasuk[Kode Barang],tblKatalog[[#This Row],[Kode Barang]],tblMasuk[Jumlah Masuk])</f>
        <v>7</v>
      </c>
      <c r="F83" s="12">
        <f>+SUMIF(tblKeluar[Kode Barang],tblKatalog[[#This Row],[Kode Barang]],tblKeluar[Jumlah Keluar])</f>
        <v>7</v>
      </c>
      <c r="G83" s="49">
        <f>+tblKatalog[[#This Row],[Awal]]+tblKatalog[[#This Row],[Masuk]]-tblKatalog[[#This Row],[Keluar]]</f>
        <v>6</v>
      </c>
      <c r="I83" s="2">
        <v>2</v>
      </c>
    </row>
    <row r="84" spans="1:18" x14ac:dyDescent="0.25">
      <c r="A84" s="11" t="s">
        <v>187</v>
      </c>
      <c r="B84" s="11" t="s">
        <v>237</v>
      </c>
      <c r="C84" s="44" t="s">
        <v>238</v>
      </c>
      <c r="D84" s="49">
        <v>0</v>
      </c>
      <c r="E84" s="25">
        <f>+SUMIF(tblMasuk[Kode Barang],tblKatalog[[#This Row],[Kode Barang]],tblMasuk[Jumlah Masuk])</f>
        <v>0</v>
      </c>
      <c r="F84" s="12">
        <f>+SUMIF(tblKeluar[Kode Barang],tblKatalog[[#This Row],[Kode Barang]],tblKeluar[Jumlah Keluar])</f>
        <v>0</v>
      </c>
      <c r="G84" s="49">
        <f>+tblKatalog[[#This Row],[Awal]]+tblKatalog[[#This Row],[Masuk]]-tblKatalog[[#This Row],[Keluar]]</f>
        <v>0</v>
      </c>
      <c r="I84" s="2">
        <v>0</v>
      </c>
      <c r="Q84" s="51"/>
    </row>
    <row r="85" spans="1:18" x14ac:dyDescent="0.25">
      <c r="A85" s="11" t="s">
        <v>220</v>
      </c>
      <c r="B85" s="11" t="s">
        <v>239</v>
      </c>
      <c r="C85" s="11" t="s">
        <v>240</v>
      </c>
      <c r="D85" s="49">
        <v>0</v>
      </c>
      <c r="E85" s="25">
        <f>+SUMIF(tblMasuk[Kode Barang],tblKatalog[[#This Row],[Kode Barang]],tblMasuk[Jumlah Masuk])</f>
        <v>0</v>
      </c>
      <c r="F85" s="12">
        <f>+SUMIF(tblKeluar[Kode Barang],tblKatalog[[#This Row],[Kode Barang]],tblKeluar[Jumlah Keluar])</f>
        <v>0</v>
      </c>
      <c r="G85" s="49">
        <f>+tblKatalog[[#This Row],[Awal]]+tblKatalog[[#This Row],[Masuk]]-tblKatalog[[#This Row],[Keluar]]</f>
        <v>0</v>
      </c>
      <c r="I85" s="2">
        <v>0</v>
      </c>
      <c r="Q85" s="50"/>
      <c r="R85" s="50"/>
    </row>
    <row r="86" spans="1:18" x14ac:dyDescent="0.25">
      <c r="A86" s="11" t="s">
        <v>221</v>
      </c>
      <c r="B86" s="11" t="s">
        <v>241</v>
      </c>
      <c r="C86" s="11" t="s">
        <v>130</v>
      </c>
      <c r="D86" s="49">
        <v>57</v>
      </c>
      <c r="E86" s="25">
        <f>+SUMIF(tblMasuk[Kode Barang],tblKatalog[[#This Row],[Kode Barang]],tblMasuk[Jumlah Masuk])</f>
        <v>78</v>
      </c>
      <c r="F86" s="12">
        <f>+SUMIF(tblKeluar[Kode Barang],tblKatalog[[#This Row],[Kode Barang]],tblKeluar[Jumlah Keluar])</f>
        <v>83</v>
      </c>
      <c r="G86" s="49">
        <f>+tblKatalog[[#This Row],[Awal]]+tblKatalog[[#This Row],[Masuk]]-tblKatalog[[#This Row],[Keluar]]</f>
        <v>52</v>
      </c>
      <c r="I86" s="2">
        <v>8</v>
      </c>
      <c r="Q86" s="50"/>
      <c r="R86" s="50"/>
    </row>
    <row r="87" spans="1:18" x14ac:dyDescent="0.25">
      <c r="A87" s="11" t="s">
        <v>222</v>
      </c>
      <c r="B87" s="11" t="s">
        <v>245</v>
      </c>
      <c r="C87" s="44" t="s">
        <v>60</v>
      </c>
      <c r="D87" s="49">
        <v>1</v>
      </c>
      <c r="E87" s="25">
        <f>+SUMIF(tblMasuk[Kode Barang],tblKatalog[[#This Row],[Kode Barang]],tblMasuk[Jumlah Masuk])</f>
        <v>0</v>
      </c>
      <c r="F87" s="12">
        <f>+SUMIF(tblKeluar[Kode Barang],tblKatalog[[#This Row],[Kode Barang]],tblKeluar[Jumlah Keluar])</f>
        <v>0</v>
      </c>
      <c r="G87" s="49">
        <f>+tblKatalog[[#This Row],[Awal]]+tblKatalog[[#This Row],[Masuk]]-tblKatalog[[#This Row],[Keluar]]</f>
        <v>1</v>
      </c>
      <c r="I87" s="2">
        <v>0</v>
      </c>
      <c r="Q87" s="50"/>
      <c r="R87" s="50"/>
    </row>
    <row r="88" spans="1:18" x14ac:dyDescent="0.25">
      <c r="A88" s="11" t="s">
        <v>223</v>
      </c>
      <c r="B88" s="11" t="s">
        <v>246</v>
      </c>
      <c r="C88" s="44" t="s">
        <v>60</v>
      </c>
      <c r="D88" s="49">
        <v>0</v>
      </c>
      <c r="E88" s="25">
        <f>+SUMIF(tblMasuk[Kode Barang],tblKatalog[[#This Row],[Kode Barang]],tblMasuk[Jumlah Masuk])</f>
        <v>0</v>
      </c>
      <c r="F88" s="12">
        <f>+SUMIF(tblKeluar[Kode Barang],tblKatalog[[#This Row],[Kode Barang]],tblKeluar[Jumlah Keluar])</f>
        <v>0</v>
      </c>
      <c r="G88" s="49">
        <f>+tblKatalog[[#This Row],[Awal]]+tblKatalog[[#This Row],[Masuk]]-tblKatalog[[#This Row],[Keluar]]</f>
        <v>0</v>
      </c>
      <c r="I88" s="2">
        <v>0</v>
      </c>
      <c r="Q88" s="50"/>
      <c r="R88" s="50"/>
    </row>
    <row r="89" spans="1:18" x14ac:dyDescent="0.25">
      <c r="A89" s="11" t="s">
        <v>249</v>
      </c>
      <c r="B89" s="11" t="s">
        <v>248</v>
      </c>
      <c r="C89" s="44" t="s">
        <v>60</v>
      </c>
      <c r="D89" s="49">
        <v>0</v>
      </c>
      <c r="E89" s="25">
        <f>+SUMIF(tblMasuk[Kode Barang],tblKatalog[[#This Row],[Kode Barang]],tblMasuk[Jumlah Masuk])</f>
        <v>0</v>
      </c>
      <c r="F89" s="12">
        <f>+SUMIF(tblKeluar[Kode Barang],tblKatalog[[#This Row],[Kode Barang]],tblKeluar[Jumlah Keluar])</f>
        <v>0</v>
      </c>
      <c r="G89" s="49">
        <f>+tblKatalog[[#This Row],[Awal]]+tblKatalog[[#This Row],[Masuk]]-tblKatalog[[#This Row],[Keluar]]</f>
        <v>0</v>
      </c>
      <c r="I89" s="2">
        <v>0</v>
      </c>
      <c r="Q89" s="50"/>
      <c r="R89" s="50"/>
    </row>
    <row r="90" spans="1:18" x14ac:dyDescent="0.25">
      <c r="A90" s="11" t="s">
        <v>250</v>
      </c>
      <c r="B90" s="11" t="s">
        <v>252</v>
      </c>
      <c r="C90" s="33" t="s">
        <v>87</v>
      </c>
      <c r="D90" s="49">
        <v>1</v>
      </c>
      <c r="E90" s="25">
        <f>+SUMIF(tblMasuk[Kode Barang],tblKatalog[[#This Row],[Kode Barang]],tblMasuk[Jumlah Masuk])</f>
        <v>5</v>
      </c>
      <c r="F90" s="12">
        <f>+SUMIF(tblKeluar[Kode Barang],tblKatalog[[#This Row],[Kode Barang]],tblKeluar[Jumlah Keluar])</f>
        <v>5</v>
      </c>
      <c r="G90" s="49">
        <f>+tblKatalog[[#This Row],[Awal]]+tblKatalog[[#This Row],[Masuk]]-tblKatalog[[#This Row],[Keluar]]</f>
        <v>1</v>
      </c>
      <c r="I90" s="2">
        <v>1</v>
      </c>
      <c r="Q90" s="50"/>
      <c r="R90" s="50"/>
    </row>
    <row r="91" spans="1:18" x14ac:dyDescent="0.25">
      <c r="A91" s="11" t="s">
        <v>251</v>
      </c>
      <c r="B91" s="11" t="s">
        <v>253</v>
      </c>
      <c r="C91" s="11" t="s">
        <v>254</v>
      </c>
      <c r="D91" s="49">
        <v>3</v>
      </c>
      <c r="E91" s="25">
        <f>+SUMIF(tblMasuk[Kode Barang],tblKatalog[[#This Row],[Kode Barang]],tblMasuk[Jumlah Masuk])</f>
        <v>3</v>
      </c>
      <c r="F91" s="12">
        <f>+SUMIF(tblKeluar[Kode Barang],tblKatalog[[#This Row],[Kode Barang]],tblKeluar[Jumlah Keluar])</f>
        <v>3</v>
      </c>
      <c r="G91" s="49">
        <f>+tblKatalog[[#This Row],[Awal]]+tblKatalog[[#This Row],[Masuk]]-tblKatalog[[#This Row],[Keluar]]</f>
        <v>3</v>
      </c>
      <c r="I91" s="2">
        <v>1</v>
      </c>
    </row>
    <row r="92" spans="1:18" x14ac:dyDescent="0.25">
      <c r="A92" s="11" t="s">
        <v>255</v>
      </c>
      <c r="B92" s="11" t="s">
        <v>257</v>
      </c>
      <c r="C92" s="11" t="s">
        <v>258</v>
      </c>
      <c r="D92" s="49">
        <v>0</v>
      </c>
      <c r="E92" s="25">
        <f>+SUMIF(tblMasuk[Kode Barang],tblKatalog[[#This Row],[Kode Barang]],tblMasuk[Jumlah Masuk])</f>
        <v>0</v>
      </c>
      <c r="F92" s="12">
        <f>+SUMIF(tblKeluar[Kode Barang],tblKatalog[[#This Row],[Kode Barang]],tblKeluar[Jumlah Keluar])</f>
        <v>0</v>
      </c>
      <c r="G92" s="49">
        <f>+tblKatalog[[#This Row],[Awal]]+tblKatalog[[#This Row],[Masuk]]-tblKatalog[[#This Row],[Keluar]]</f>
        <v>0</v>
      </c>
      <c r="I92" s="2">
        <v>0</v>
      </c>
    </row>
    <row r="93" spans="1:18" x14ac:dyDescent="0.25">
      <c r="A93" s="11" t="s">
        <v>256</v>
      </c>
      <c r="B93" s="11" t="s">
        <v>260</v>
      </c>
      <c r="C93" s="33" t="s">
        <v>50</v>
      </c>
      <c r="D93" s="49">
        <v>0</v>
      </c>
      <c r="E93" s="25">
        <f>+SUMIF(tblMasuk[Kode Barang],tblKatalog[[#This Row],[Kode Barang]],tblMasuk[Jumlah Masuk])</f>
        <v>5</v>
      </c>
      <c r="F93" s="12">
        <f>+SUMIF(tblKeluar[Kode Barang],tblKatalog[[#This Row],[Kode Barang]],tblKeluar[Jumlah Keluar])</f>
        <v>4</v>
      </c>
      <c r="G93" s="49">
        <f>+tblKatalog[[#This Row],[Awal]]+tblKatalog[[#This Row],[Masuk]]-tblKatalog[[#This Row],[Keluar]]</f>
        <v>1</v>
      </c>
      <c r="I93" s="2">
        <v>1</v>
      </c>
    </row>
    <row r="94" spans="1:18" x14ac:dyDescent="0.25">
      <c r="A94" s="11" t="s">
        <v>261</v>
      </c>
      <c r="B94" s="11" t="s">
        <v>303</v>
      </c>
      <c r="C94" s="11" t="s">
        <v>262</v>
      </c>
      <c r="D94" s="49">
        <v>2</v>
      </c>
      <c r="E94" s="25">
        <f>+SUMIF(tblMasuk[Kode Barang],tblKatalog[[#This Row],[Kode Barang]],tblMasuk[Jumlah Masuk])</f>
        <v>0</v>
      </c>
      <c r="F94" s="12">
        <f>+SUMIF(tblKeluar[Kode Barang],tblKatalog[[#This Row],[Kode Barang]],tblKeluar[Jumlah Keluar])</f>
        <v>0</v>
      </c>
      <c r="G94" s="49">
        <f>+tblKatalog[[#This Row],[Awal]]+tblKatalog[[#This Row],[Masuk]]-tblKatalog[[#This Row],[Keluar]]</f>
        <v>2</v>
      </c>
      <c r="I94" s="2">
        <v>0</v>
      </c>
    </row>
    <row r="95" spans="1:18" x14ac:dyDescent="0.25">
      <c r="A95" s="11" t="s">
        <v>263</v>
      </c>
      <c r="B95" s="11" t="s">
        <v>312</v>
      </c>
      <c r="C95" s="11" t="s">
        <v>264</v>
      </c>
      <c r="D95" s="49">
        <v>0</v>
      </c>
      <c r="E95" s="25">
        <f>+SUMIF(tblMasuk[Kode Barang],tblKatalog[[#This Row],[Kode Barang]],tblMasuk[Jumlah Masuk])</f>
        <v>0</v>
      </c>
      <c r="F95" s="12">
        <f>+SUMIF(tblKeluar[Kode Barang],tblKatalog[[#This Row],[Kode Barang]],tblKeluar[Jumlah Keluar])</f>
        <v>0</v>
      </c>
      <c r="G95" s="49">
        <f>+tblKatalog[[#This Row],[Awal]]+tblKatalog[[#This Row],[Masuk]]-tblKatalog[[#This Row],[Keluar]]</f>
        <v>0</v>
      </c>
      <c r="I95" s="2">
        <v>0</v>
      </c>
    </row>
    <row r="96" spans="1:18" x14ac:dyDescent="0.25">
      <c r="A96" s="11" t="s">
        <v>265</v>
      </c>
      <c r="B96" s="11" t="s">
        <v>266</v>
      </c>
      <c r="C96" s="11" t="s">
        <v>267</v>
      </c>
      <c r="D96" s="49">
        <v>1</v>
      </c>
      <c r="E96" s="25">
        <f>+SUMIF(tblMasuk[Kode Barang],tblKatalog[[#This Row],[Kode Barang]],tblMasuk[Jumlah Masuk])</f>
        <v>12</v>
      </c>
      <c r="F96" s="12">
        <f>+SUMIF(tblKeluar[Kode Barang],tblKatalog[[#This Row],[Kode Barang]],tblKeluar[Jumlah Keluar])</f>
        <v>12</v>
      </c>
      <c r="G96" s="49">
        <f>+tblKatalog[[#This Row],[Awal]]+tblKatalog[[#This Row],[Masuk]]-tblKatalog[[#This Row],[Keluar]]</f>
        <v>1</v>
      </c>
      <c r="I96" s="2">
        <v>2</v>
      </c>
    </row>
    <row r="97" spans="1:9" x14ac:dyDescent="0.25">
      <c r="A97" s="11" t="s">
        <v>268</v>
      </c>
      <c r="B97" s="11" t="s">
        <v>269</v>
      </c>
      <c r="C97" s="33" t="s">
        <v>270</v>
      </c>
      <c r="D97" s="49">
        <v>0</v>
      </c>
      <c r="E97" s="25">
        <f>+SUMIF(tblMasuk[Kode Barang],tblKatalog[[#This Row],[Kode Barang]],tblMasuk[Jumlah Masuk])</f>
        <v>0</v>
      </c>
      <c r="F97" s="12">
        <f>+SUMIF(tblKeluar[Kode Barang],tblKatalog[[#This Row],[Kode Barang]],tblKeluar[Jumlah Keluar])</f>
        <v>0</v>
      </c>
      <c r="G97" s="49">
        <f>+tblKatalog[[#This Row],[Awal]]+tblKatalog[[#This Row],[Masuk]]-tblKatalog[[#This Row],[Keluar]]</f>
        <v>0</v>
      </c>
      <c r="I97" s="2">
        <v>0</v>
      </c>
    </row>
    <row r="98" spans="1:9" x14ac:dyDescent="0.25">
      <c r="A98" s="11" t="s">
        <v>271</v>
      </c>
      <c r="B98" s="11" t="s">
        <v>273</v>
      </c>
      <c r="C98" s="11" t="s">
        <v>272</v>
      </c>
      <c r="D98" s="49">
        <v>0</v>
      </c>
      <c r="E98" s="25">
        <f>+SUMIF(tblMasuk[Kode Barang],tblKatalog[[#This Row],[Kode Barang]],tblMasuk[Jumlah Masuk])</f>
        <v>0</v>
      </c>
      <c r="F98" s="12">
        <f>+SUMIF(tblKeluar[Kode Barang],tblKatalog[[#This Row],[Kode Barang]],tblKeluar[Jumlah Keluar])</f>
        <v>0</v>
      </c>
      <c r="G98" s="49">
        <f>+tblKatalog[[#This Row],[Awal]]+tblKatalog[[#This Row],[Masuk]]-tblKatalog[[#This Row],[Keluar]]</f>
        <v>0</v>
      </c>
      <c r="I98" s="2">
        <v>0</v>
      </c>
    </row>
    <row r="99" spans="1:9" x14ac:dyDescent="0.25">
      <c r="A99" s="11" t="s">
        <v>274</v>
      </c>
      <c r="B99" s="11" t="s">
        <v>292</v>
      </c>
      <c r="C99" s="44" t="s">
        <v>293</v>
      </c>
      <c r="D99" s="49">
        <v>2</v>
      </c>
      <c r="E99" s="25">
        <f>+SUMIF(tblMasuk[Kode Barang],tblKatalog[[#This Row],[Kode Barang]],tblMasuk[Jumlah Masuk])</f>
        <v>0</v>
      </c>
      <c r="F99" s="12">
        <f>+SUMIF(tblKeluar[Kode Barang],tblKatalog[[#This Row],[Kode Barang]],tblKeluar[Jumlah Keluar])</f>
        <v>1</v>
      </c>
      <c r="G99" s="49">
        <f>+tblKatalog[[#This Row],[Awal]]+tblKatalog[[#This Row],[Masuk]]-tblKatalog[[#This Row],[Keluar]]</f>
        <v>1</v>
      </c>
      <c r="I99" s="2" t="s">
        <v>428</v>
      </c>
    </row>
    <row r="100" spans="1:9" x14ac:dyDescent="0.25">
      <c r="A100" s="11" t="s">
        <v>275</v>
      </c>
      <c r="B100" s="11" t="s">
        <v>294</v>
      </c>
      <c r="C100" s="44" t="s">
        <v>295</v>
      </c>
      <c r="D100" s="49">
        <v>4</v>
      </c>
      <c r="E100" s="25">
        <f>+SUMIF(tblMasuk[Kode Barang],tblKatalog[[#This Row],[Kode Barang]],tblMasuk[Jumlah Masuk])</f>
        <v>0</v>
      </c>
      <c r="F100" s="12">
        <f>+SUMIF(tblKeluar[Kode Barang],tblKatalog[[#This Row],[Kode Barang]],tblKeluar[Jumlah Keluar])</f>
        <v>1</v>
      </c>
      <c r="G100" s="49">
        <f>+tblKatalog[[#This Row],[Awal]]+tblKatalog[[#This Row],[Masuk]]-tblKatalog[[#This Row],[Keluar]]</f>
        <v>3</v>
      </c>
      <c r="I100" s="2">
        <v>0</v>
      </c>
    </row>
    <row r="101" spans="1:9" x14ac:dyDescent="0.25">
      <c r="A101" s="11" t="s">
        <v>278</v>
      </c>
      <c r="B101" s="11" t="s">
        <v>277</v>
      </c>
      <c r="C101" s="11" t="s">
        <v>264</v>
      </c>
      <c r="D101" s="49">
        <v>14</v>
      </c>
      <c r="E101" s="25">
        <f>+SUMIF(tblMasuk[Kode Barang],tblKatalog[[#This Row],[Kode Barang]],tblMasuk[Jumlah Masuk])</f>
        <v>72</v>
      </c>
      <c r="F101" s="12">
        <f>+SUMIF(tblKeluar[Kode Barang],tblKatalog[[#This Row],[Kode Barang]],tblKeluar[Jumlah Keluar])</f>
        <v>74</v>
      </c>
      <c r="G101" s="49">
        <f>+tblKatalog[[#This Row],[Awal]]+tblKatalog[[#This Row],[Masuk]]-tblKatalog[[#This Row],[Keluar]]</f>
        <v>12</v>
      </c>
      <c r="I101" s="2">
        <v>9</v>
      </c>
    </row>
    <row r="102" spans="1:9" x14ac:dyDescent="0.25">
      <c r="A102" s="11" t="s">
        <v>281</v>
      </c>
      <c r="B102" s="11" t="s">
        <v>279</v>
      </c>
      <c r="C102" s="44" t="s">
        <v>280</v>
      </c>
      <c r="D102" s="49">
        <v>0</v>
      </c>
      <c r="E102" s="25">
        <f>+SUMIF(tblMasuk[Kode Barang],tblKatalog[[#This Row],[Kode Barang]],tblMasuk[Jumlah Masuk])</f>
        <v>0</v>
      </c>
      <c r="F102" s="12">
        <f>+SUMIF(tblKeluar[Kode Barang],tblKatalog[[#This Row],[Kode Barang]],tblKeluar[Jumlah Keluar])</f>
        <v>0</v>
      </c>
      <c r="G102" s="49">
        <f>+tblKatalog[[#This Row],[Awal]]+tblKatalog[[#This Row],[Masuk]]-tblKatalog[[#This Row],[Keluar]]</f>
        <v>0</v>
      </c>
      <c r="I102" s="2">
        <v>0</v>
      </c>
    </row>
    <row r="103" spans="1:9" x14ac:dyDescent="0.25">
      <c r="A103" s="11" t="s">
        <v>284</v>
      </c>
      <c r="B103" s="11" t="s">
        <v>282</v>
      </c>
      <c r="C103" s="11" t="s">
        <v>283</v>
      </c>
      <c r="D103" s="49">
        <v>0</v>
      </c>
      <c r="E103" s="25">
        <f>+SUMIF(tblMasuk[Kode Barang],tblKatalog[[#This Row],[Kode Barang]],tblMasuk[Jumlah Masuk])</f>
        <v>0</v>
      </c>
      <c r="F103" s="12">
        <f>+SUMIF(tblKeluar[Kode Barang],tblKatalog[[#This Row],[Kode Barang]],tblKeluar[Jumlah Keluar])</f>
        <v>0</v>
      </c>
      <c r="G103" s="49">
        <f>+tblKatalog[[#This Row],[Awal]]+tblKatalog[[#This Row],[Masuk]]-tblKatalog[[#This Row],[Keluar]]</f>
        <v>0</v>
      </c>
      <c r="I103" s="2">
        <v>0</v>
      </c>
    </row>
    <row r="104" spans="1:9" x14ac:dyDescent="0.25">
      <c r="A104" s="11" t="s">
        <v>285</v>
      </c>
      <c r="B104" s="11" t="s">
        <v>286</v>
      </c>
      <c r="C104" s="11" t="s">
        <v>122</v>
      </c>
      <c r="D104" s="49">
        <v>16</v>
      </c>
      <c r="E104" s="25">
        <f>+SUMIF(tblMasuk[Kode Barang],tblKatalog[[#This Row],[Kode Barang]],tblMasuk[Jumlah Masuk])</f>
        <v>0</v>
      </c>
      <c r="F104" s="12">
        <f>+SUMIF(tblKeluar[Kode Barang],tblKatalog[[#This Row],[Kode Barang]],tblKeluar[Jumlah Keluar])</f>
        <v>10</v>
      </c>
      <c r="G104" s="49">
        <f>+tblKatalog[[#This Row],[Awal]]+tblKatalog[[#This Row],[Masuk]]-tblKatalog[[#This Row],[Keluar]]</f>
        <v>6</v>
      </c>
      <c r="I104" s="2">
        <v>11</v>
      </c>
    </row>
    <row r="105" spans="1:9" x14ac:dyDescent="0.25">
      <c r="A105" s="11" t="s">
        <v>289</v>
      </c>
      <c r="B105" s="11" t="s">
        <v>287</v>
      </c>
      <c r="C105" s="11" t="s">
        <v>288</v>
      </c>
      <c r="D105" s="49">
        <v>1</v>
      </c>
      <c r="E105" s="25">
        <f>+SUMIF(tblMasuk[Kode Barang],tblKatalog[[#This Row],[Kode Barang]],tblMasuk[Jumlah Masuk])</f>
        <v>0</v>
      </c>
      <c r="F105" s="12">
        <f>+SUMIF(tblKeluar[Kode Barang],tblKatalog[[#This Row],[Kode Barang]],tblKeluar[Jumlah Keluar])</f>
        <v>0</v>
      </c>
      <c r="G105" s="49">
        <f>+tblKatalog[[#This Row],[Awal]]+tblKatalog[[#This Row],[Masuk]]-tblKatalog[[#This Row],[Keluar]]</f>
        <v>1</v>
      </c>
      <c r="I105" s="2">
        <v>6</v>
      </c>
    </row>
    <row r="106" spans="1:9" x14ac:dyDescent="0.25">
      <c r="A106" s="11" t="s">
        <v>290</v>
      </c>
      <c r="B106" s="11" t="s">
        <v>296</v>
      </c>
      <c r="C106" s="44" t="s">
        <v>297</v>
      </c>
      <c r="D106" s="49">
        <v>2</v>
      </c>
      <c r="E106" s="25">
        <f>+SUMIF(tblMasuk[Kode Barang],tblKatalog[[#This Row],[Kode Barang]],tblMasuk[Jumlah Masuk])</f>
        <v>0</v>
      </c>
      <c r="F106" s="12">
        <f>+SUMIF(tblKeluar[Kode Barang],tblKatalog[[#This Row],[Kode Barang]],tblKeluar[Jumlah Keluar])</f>
        <v>1</v>
      </c>
      <c r="G106" s="49">
        <f>+tblKatalog[[#This Row],[Awal]]+tblKatalog[[#This Row],[Masuk]]-tblKatalog[[#This Row],[Keluar]]</f>
        <v>1</v>
      </c>
      <c r="I106" s="2" t="s">
        <v>428</v>
      </c>
    </row>
    <row r="107" spans="1:9" x14ac:dyDescent="0.25">
      <c r="A107" s="11" t="s">
        <v>300</v>
      </c>
      <c r="B107" s="11" t="s">
        <v>298</v>
      </c>
      <c r="C107" s="11" t="s">
        <v>299</v>
      </c>
      <c r="D107" s="49">
        <v>2</v>
      </c>
      <c r="E107" s="25">
        <f>+SUMIF(tblMasuk[Kode Barang],tblKatalog[[#This Row],[Kode Barang]],tblMasuk[Jumlah Masuk])</f>
        <v>1</v>
      </c>
      <c r="F107" s="12">
        <f>+SUMIF(tblKeluar[Kode Barang],tblKatalog[[#This Row],[Kode Barang]],tblKeluar[Jumlah Keluar])</f>
        <v>2</v>
      </c>
      <c r="G107" s="49">
        <f>+tblKatalog[[#This Row],[Awal]]+tblKatalog[[#This Row],[Masuk]]-tblKatalog[[#This Row],[Keluar]]</f>
        <v>1</v>
      </c>
      <c r="I107" s="2">
        <v>0</v>
      </c>
    </row>
    <row r="108" spans="1:9" x14ac:dyDescent="0.25">
      <c r="A108" s="11" t="s">
        <v>301</v>
      </c>
      <c r="B108" s="11" t="s">
        <v>302</v>
      </c>
      <c r="C108" s="33" t="s">
        <v>57</v>
      </c>
      <c r="D108" s="49">
        <v>2</v>
      </c>
      <c r="E108" s="25">
        <f>+SUMIF(tblMasuk[Kode Barang],tblKatalog[[#This Row],[Kode Barang]],tblMasuk[Jumlah Masuk])</f>
        <v>0</v>
      </c>
      <c r="F108" s="12">
        <f>+SUMIF(tblKeluar[Kode Barang],tblKatalog[[#This Row],[Kode Barang]],tblKeluar[Jumlah Keluar])</f>
        <v>1</v>
      </c>
      <c r="G108" s="49">
        <f>+tblKatalog[[#This Row],[Awal]]+tblKatalog[[#This Row],[Masuk]]-tblKatalog[[#This Row],[Keluar]]</f>
        <v>1</v>
      </c>
      <c r="I108" s="2">
        <v>0</v>
      </c>
    </row>
    <row r="109" spans="1:9" x14ac:dyDescent="0.25">
      <c r="A109" s="11" t="s">
        <v>304</v>
      </c>
      <c r="B109" s="11" t="s">
        <v>305</v>
      </c>
      <c r="C109" s="11" t="s">
        <v>306</v>
      </c>
      <c r="D109" s="49">
        <v>0</v>
      </c>
      <c r="E109" s="25">
        <f>+SUMIF(tblMasuk[Kode Barang],tblKatalog[[#This Row],[Kode Barang]],tblMasuk[Jumlah Masuk])</f>
        <v>0</v>
      </c>
      <c r="F109" s="12">
        <f>+SUMIF(tblKeluar[Kode Barang],tblKatalog[[#This Row],[Kode Barang]],tblKeluar[Jumlah Keluar])</f>
        <v>0</v>
      </c>
      <c r="G109" s="49">
        <f>+tblKatalog[[#This Row],[Awal]]+tblKatalog[[#This Row],[Masuk]]-tblKatalog[[#This Row],[Keluar]]</f>
        <v>0</v>
      </c>
      <c r="I109" s="2">
        <v>0</v>
      </c>
    </row>
    <row r="110" spans="1:9" x14ac:dyDescent="0.25">
      <c r="A110" s="11" t="s">
        <v>307</v>
      </c>
      <c r="B110" s="11" t="s">
        <v>308</v>
      </c>
      <c r="C110" s="44" t="s">
        <v>60</v>
      </c>
      <c r="D110" s="49">
        <v>1</v>
      </c>
      <c r="E110" s="25">
        <f>+SUMIF(tblMasuk[Kode Barang],tblKatalog[[#This Row],[Kode Barang]],tblMasuk[Jumlah Masuk])</f>
        <v>0</v>
      </c>
      <c r="F110" s="12">
        <f>+SUMIF(tblKeluar[Kode Barang],tblKatalog[[#This Row],[Kode Barang]],tblKeluar[Jumlah Keluar])</f>
        <v>0</v>
      </c>
      <c r="G110" s="49">
        <f>+tblKatalog[[#This Row],[Awal]]+tblKatalog[[#This Row],[Masuk]]-tblKatalog[[#This Row],[Keluar]]</f>
        <v>1</v>
      </c>
      <c r="I110" s="2">
        <v>0</v>
      </c>
    </row>
    <row r="111" spans="1:9" x14ac:dyDescent="0.25">
      <c r="A111" s="11" t="s">
        <v>309</v>
      </c>
      <c r="B111" s="11" t="s">
        <v>310</v>
      </c>
      <c r="C111" s="11" t="s">
        <v>162</v>
      </c>
      <c r="D111" s="49">
        <v>2</v>
      </c>
      <c r="E111" s="25">
        <f>+SUMIF(tblMasuk[Kode Barang],tblKatalog[[#This Row],[Kode Barang]],tblMasuk[Jumlah Masuk])</f>
        <v>0</v>
      </c>
      <c r="F111" s="12">
        <f>+SUMIF(tblKeluar[Kode Barang],tblKatalog[[#This Row],[Kode Barang]],tblKeluar[Jumlah Keluar])</f>
        <v>1</v>
      </c>
      <c r="G111" s="49">
        <f>+tblKatalog[[#This Row],[Awal]]+tblKatalog[[#This Row],[Masuk]]-tblKatalog[[#This Row],[Keluar]]</f>
        <v>1</v>
      </c>
    </row>
    <row r="112" spans="1:9" x14ac:dyDescent="0.25">
      <c r="A112" s="11" t="s">
        <v>313</v>
      </c>
      <c r="B112" s="11" t="s">
        <v>315</v>
      </c>
      <c r="C112" s="11" t="s">
        <v>317</v>
      </c>
      <c r="D112" s="49">
        <v>0</v>
      </c>
      <c r="E112" s="25">
        <f>+SUMIF(tblMasuk[Kode Barang],tblKatalog[[#This Row],[Kode Barang]],tblMasuk[Jumlah Masuk])</f>
        <v>0</v>
      </c>
      <c r="F112" s="12">
        <f>+SUMIF(tblKeluar[Kode Barang],tblKatalog[[#This Row],[Kode Barang]],tblKeluar[Jumlah Keluar])</f>
        <v>0</v>
      </c>
      <c r="G112" s="49">
        <f>+tblKatalog[[#This Row],[Awal]]+tblKatalog[[#This Row],[Masuk]]-tblKatalog[[#This Row],[Keluar]]</f>
        <v>0</v>
      </c>
      <c r="I112" s="2">
        <v>0</v>
      </c>
    </row>
    <row r="113" spans="1:9" x14ac:dyDescent="0.25">
      <c r="A113" s="11" t="s">
        <v>314</v>
      </c>
      <c r="B113" s="11" t="s">
        <v>316</v>
      </c>
      <c r="C113" s="11" t="s">
        <v>318</v>
      </c>
      <c r="D113" s="49">
        <v>0</v>
      </c>
      <c r="E113" s="25">
        <f>+SUMIF(tblMasuk[Kode Barang],tblKatalog[[#This Row],[Kode Barang]],tblMasuk[Jumlah Masuk])</f>
        <v>0</v>
      </c>
      <c r="F113" s="12">
        <f>+SUMIF(tblKeluar[Kode Barang],tblKatalog[[#This Row],[Kode Barang]],tblKeluar[Jumlah Keluar])</f>
        <v>0</v>
      </c>
      <c r="G113" s="49">
        <f>+tblKatalog[[#This Row],[Awal]]+tblKatalog[[#This Row],[Masuk]]-tblKatalog[[#This Row],[Keluar]]</f>
        <v>0</v>
      </c>
      <c r="I113" s="2">
        <v>0</v>
      </c>
    </row>
    <row r="114" spans="1:9" x14ac:dyDescent="0.25">
      <c r="A114" s="11" t="s">
        <v>321</v>
      </c>
      <c r="B114" s="11" t="s">
        <v>322</v>
      </c>
      <c r="C114" s="11" t="s">
        <v>209</v>
      </c>
      <c r="D114" s="49">
        <v>10</v>
      </c>
      <c r="E114" s="25">
        <f>+SUMIF(tblMasuk[Kode Barang],tblKatalog[[#This Row],[Kode Barang]],tblMasuk[Jumlah Masuk])</f>
        <v>10</v>
      </c>
      <c r="F114" s="12">
        <f>+SUMIF(tblKeluar[Kode Barang],tblKatalog[[#This Row],[Kode Barang]],tblKeluar[Jumlah Keluar])</f>
        <v>17</v>
      </c>
      <c r="G114" s="49">
        <f>+tblKatalog[[#This Row],[Awal]]+tblKatalog[[#This Row],[Masuk]]-tblKatalog[[#This Row],[Keluar]]</f>
        <v>3</v>
      </c>
      <c r="I114" s="2">
        <v>5</v>
      </c>
    </row>
    <row r="115" spans="1:9" x14ac:dyDescent="0.25">
      <c r="A115" s="11" t="s">
        <v>323</v>
      </c>
      <c r="B115" s="11" t="s">
        <v>324</v>
      </c>
      <c r="C115" s="11" t="s">
        <v>325</v>
      </c>
      <c r="D115" s="49">
        <v>2</v>
      </c>
      <c r="E115" s="25">
        <f>+SUMIF(tblMasuk[Kode Barang],tblKatalog[[#This Row],[Kode Barang]],tblMasuk[Jumlah Masuk])</f>
        <v>2</v>
      </c>
      <c r="F115" s="12">
        <f>+SUMIF(tblKeluar[Kode Barang],tblKatalog[[#This Row],[Kode Barang]],tblKeluar[Jumlah Keluar])</f>
        <v>2</v>
      </c>
      <c r="G115" s="49">
        <f>+tblKatalog[[#This Row],[Awal]]+tblKatalog[[#This Row],[Masuk]]-tblKatalog[[#This Row],[Keluar]]</f>
        <v>2</v>
      </c>
      <c r="I115" s="2">
        <v>0</v>
      </c>
    </row>
    <row r="116" spans="1:9" x14ac:dyDescent="0.25">
      <c r="A116" s="11" t="s">
        <v>326</v>
      </c>
      <c r="B116" s="11" t="s">
        <v>327</v>
      </c>
      <c r="C116" s="44" t="s">
        <v>328</v>
      </c>
      <c r="D116" s="49">
        <v>2</v>
      </c>
      <c r="E116" s="25">
        <f>+SUMIF(tblMasuk[Kode Barang],tblKatalog[[#This Row],[Kode Barang]],tblMasuk[Jumlah Masuk])</f>
        <v>2</v>
      </c>
      <c r="F116" s="12">
        <f>+SUMIF(tblKeluar[Kode Barang],tblKatalog[[#This Row],[Kode Barang]],tblKeluar[Jumlah Keluar])</f>
        <v>2</v>
      </c>
      <c r="G116" s="49">
        <f>+tblKatalog[[#This Row],[Awal]]+tblKatalog[[#This Row],[Masuk]]-tblKatalog[[#This Row],[Keluar]]</f>
        <v>2</v>
      </c>
      <c r="I116" s="2">
        <v>1</v>
      </c>
    </row>
    <row r="117" spans="1:9" x14ac:dyDescent="0.25">
      <c r="A117" s="11" t="s">
        <v>329</v>
      </c>
      <c r="B117" s="11" t="s">
        <v>330</v>
      </c>
      <c r="C117" s="11" t="s">
        <v>331</v>
      </c>
      <c r="D117" s="49">
        <v>4</v>
      </c>
      <c r="E117" s="25">
        <f>+SUMIF(tblMasuk[Kode Barang],tblKatalog[[#This Row],[Kode Barang]],tblMasuk[Jumlah Masuk])</f>
        <v>4</v>
      </c>
      <c r="F117" s="12">
        <f>+SUMIF(tblKeluar[Kode Barang],tblKatalog[[#This Row],[Kode Barang]],tblKeluar[Jumlah Keluar])</f>
        <v>4</v>
      </c>
      <c r="G117" s="49">
        <f>+tblKatalog[[#This Row],[Awal]]+tblKatalog[[#This Row],[Masuk]]-tblKatalog[[#This Row],[Keluar]]</f>
        <v>4</v>
      </c>
      <c r="I117" s="2">
        <v>3</v>
      </c>
    </row>
    <row r="118" spans="1:9" x14ac:dyDescent="0.25">
      <c r="A118" s="11" t="s">
        <v>332</v>
      </c>
      <c r="B118" s="11" t="s">
        <v>333</v>
      </c>
      <c r="C118" s="11" t="s">
        <v>334</v>
      </c>
      <c r="D118" s="49">
        <v>1</v>
      </c>
      <c r="E118" s="25">
        <f>+SUMIF(tblMasuk[Kode Barang],tblKatalog[[#This Row],[Kode Barang]],tblMasuk[Jumlah Masuk])</f>
        <v>1</v>
      </c>
      <c r="F118" s="12">
        <f>+SUMIF(tblKeluar[Kode Barang],tblKatalog[[#This Row],[Kode Barang]],tblKeluar[Jumlah Keluar])</f>
        <v>1</v>
      </c>
      <c r="G118" s="49">
        <f>+tblKatalog[[#This Row],[Awal]]+tblKatalog[[#This Row],[Masuk]]-tblKatalog[[#This Row],[Keluar]]</f>
        <v>1</v>
      </c>
      <c r="I118" s="2">
        <v>0</v>
      </c>
    </row>
    <row r="119" spans="1:9" x14ac:dyDescent="0.25">
      <c r="A119" s="11" t="s">
        <v>340</v>
      </c>
      <c r="B119" s="11" t="s">
        <v>190</v>
      </c>
      <c r="C119" s="44" t="s">
        <v>336</v>
      </c>
      <c r="D119" s="49">
        <v>0</v>
      </c>
      <c r="E119" s="25">
        <f>+SUMIF(tblMasuk[Kode Barang],tblKatalog[[#This Row],[Kode Barang]],tblMasuk[Jumlah Masuk])</f>
        <v>0</v>
      </c>
      <c r="F119" s="12">
        <f>+SUMIF(tblKeluar[Kode Barang],tblKatalog[[#This Row],[Kode Barang]],tblKeluar[Jumlah Keluar])</f>
        <v>0</v>
      </c>
      <c r="G119" s="49">
        <f>+tblKatalog[[#This Row],[Awal]]+tblKatalog[[#This Row],[Masuk]]-tblKatalog[[#This Row],[Keluar]]</f>
        <v>0</v>
      </c>
      <c r="I119" s="2">
        <v>0</v>
      </c>
    </row>
    <row r="120" spans="1:9" x14ac:dyDescent="0.25">
      <c r="A120" s="11" t="s">
        <v>341</v>
      </c>
      <c r="B120" s="11" t="s">
        <v>194</v>
      </c>
      <c r="C120" s="44" t="s">
        <v>337</v>
      </c>
      <c r="D120" s="49">
        <v>0</v>
      </c>
      <c r="E120" s="12">
        <f>+SUMIF(tblMasuk[Kode Barang],tblKatalog[[#This Row],[Kode Barang]],tblMasuk[Jumlah Masuk])</f>
        <v>0</v>
      </c>
      <c r="F120" s="12">
        <f>+SUMIF(tblKeluar[Kode Barang],tblKatalog[[#This Row],[Kode Barang]],tblKeluar[Jumlah Keluar])</f>
        <v>0</v>
      </c>
      <c r="G120" s="49">
        <f>+tblKatalog[[#This Row],[Awal]]+tblKatalog[[#This Row],[Masuk]]-tblKatalog[[#This Row],[Keluar]]</f>
        <v>0</v>
      </c>
      <c r="I120" s="2">
        <v>0</v>
      </c>
    </row>
    <row r="121" spans="1:9" x14ac:dyDescent="0.25">
      <c r="A121" s="11" t="s">
        <v>342</v>
      </c>
      <c r="B121" s="11" t="s">
        <v>196</v>
      </c>
      <c r="C121" s="44" t="s">
        <v>338</v>
      </c>
      <c r="D121" s="49">
        <v>0</v>
      </c>
      <c r="E121" s="12">
        <f>+SUMIF(tblMasuk[Kode Barang],tblKatalog[[#This Row],[Kode Barang]],tblMasuk[Jumlah Masuk])</f>
        <v>0</v>
      </c>
      <c r="F121" s="12">
        <f>+SUMIF(tblKeluar[Kode Barang],tblKatalog[[#This Row],[Kode Barang]],tblKeluar[Jumlah Keluar])</f>
        <v>0</v>
      </c>
      <c r="G121" s="49">
        <f>+tblKatalog[[#This Row],[Awal]]+tblKatalog[[#This Row],[Masuk]]-tblKatalog[[#This Row],[Keluar]]</f>
        <v>0</v>
      </c>
      <c r="I121" s="2">
        <v>0</v>
      </c>
    </row>
    <row r="122" spans="1:9" x14ac:dyDescent="0.25">
      <c r="A122" s="11" t="s">
        <v>343</v>
      </c>
      <c r="B122" s="11" t="s">
        <v>192</v>
      </c>
      <c r="C122" s="44" t="s">
        <v>339</v>
      </c>
      <c r="D122" s="49">
        <v>0</v>
      </c>
      <c r="E122" s="12">
        <f>+SUMIF(tblMasuk[Kode Barang],tblKatalog[[#This Row],[Kode Barang]],tblMasuk[Jumlah Masuk])</f>
        <v>0</v>
      </c>
      <c r="F122" s="12">
        <f>+SUMIF(tblKeluar[Kode Barang],tblKatalog[[#This Row],[Kode Barang]],tblKeluar[Jumlah Keluar])</f>
        <v>0</v>
      </c>
      <c r="G122" s="49">
        <f>+tblKatalog[[#This Row],[Awal]]+tblKatalog[[#This Row],[Masuk]]-tblKatalog[[#This Row],[Keluar]]</f>
        <v>0</v>
      </c>
      <c r="I122" s="2">
        <v>0</v>
      </c>
    </row>
    <row r="123" spans="1:9" x14ac:dyDescent="0.25">
      <c r="A123" s="11" t="s">
        <v>344</v>
      </c>
      <c r="B123" s="11" t="s">
        <v>345</v>
      </c>
      <c r="C123" s="43" t="s">
        <v>226</v>
      </c>
      <c r="D123" s="49">
        <v>12</v>
      </c>
      <c r="E123" s="12">
        <f>+SUMIF(tblMasuk[Kode Barang],tblKatalog[[#This Row],[Kode Barang]],tblMasuk[Jumlah Masuk])</f>
        <v>1</v>
      </c>
      <c r="F123" s="12">
        <f>+SUMIF(tblKeluar[Kode Barang],tblKatalog[[#This Row],[Kode Barang]],tblKeluar[Jumlah Keluar])</f>
        <v>1</v>
      </c>
      <c r="G123" s="49">
        <f>+tblKatalog[[#This Row],[Awal]]+tblKatalog[[#This Row],[Masuk]]-tblKatalog[[#This Row],[Keluar]]</f>
        <v>12</v>
      </c>
      <c r="I123" s="2">
        <v>24</v>
      </c>
    </row>
    <row r="124" spans="1:9" x14ac:dyDescent="0.25">
      <c r="A124" s="11" t="s">
        <v>346</v>
      </c>
      <c r="B124" s="11" t="s">
        <v>347</v>
      </c>
      <c r="C124" s="33" t="s">
        <v>50</v>
      </c>
      <c r="D124" s="49">
        <v>0</v>
      </c>
      <c r="E124" s="12">
        <f>+SUMIF(tblMasuk[Kode Barang],tblKatalog[[#This Row],[Kode Barang]],tblMasuk[Jumlah Masuk])</f>
        <v>1</v>
      </c>
      <c r="F124" s="12">
        <f>+SUMIF(tblKeluar[Kode Barang],tblKatalog[[#This Row],[Kode Barang]],tblKeluar[Jumlah Keluar])</f>
        <v>1</v>
      </c>
      <c r="G124" s="49">
        <f>+tblKatalog[[#This Row],[Awal]]+tblKatalog[[#This Row],[Masuk]]-tblKatalog[[#This Row],[Keluar]]</f>
        <v>0</v>
      </c>
      <c r="I124" s="2">
        <v>0</v>
      </c>
    </row>
    <row r="125" spans="1:9" x14ac:dyDescent="0.25">
      <c r="A125" s="11" t="s">
        <v>348</v>
      </c>
      <c r="B125" s="11" t="s">
        <v>350</v>
      </c>
      <c r="C125" s="44" t="s">
        <v>349</v>
      </c>
      <c r="D125" s="49">
        <v>9</v>
      </c>
      <c r="E125" s="12">
        <f>+SUMIF(tblMasuk[Kode Barang],tblKatalog[[#This Row],[Kode Barang]],tblMasuk[Jumlah Masuk])</f>
        <v>48</v>
      </c>
      <c r="F125" s="12">
        <f>+SUMIF(tblKeluar[Kode Barang],tblKatalog[[#This Row],[Kode Barang]],tblKeluar[Jumlah Keluar])</f>
        <v>40</v>
      </c>
      <c r="G125" s="49">
        <f>+tblKatalog[[#This Row],[Awal]]+tblKatalog[[#This Row],[Masuk]]-tblKatalog[[#This Row],[Keluar]]</f>
        <v>17</v>
      </c>
      <c r="I125" s="2">
        <v>25</v>
      </c>
    </row>
    <row r="126" spans="1:9" x14ac:dyDescent="0.25">
      <c r="A126" s="11" t="s">
        <v>351</v>
      </c>
      <c r="B126" s="11" t="s">
        <v>352</v>
      </c>
      <c r="C126" s="11" t="s">
        <v>57</v>
      </c>
      <c r="D126" s="49">
        <v>0</v>
      </c>
      <c r="E126" s="12">
        <f>+SUMIF(tblMasuk[Kode Barang],tblKatalog[[#This Row],[Kode Barang]],tblMasuk[Jumlah Masuk])</f>
        <v>0</v>
      </c>
      <c r="F126" s="12">
        <f>+SUMIF(tblKeluar[Kode Barang],tblKatalog[[#This Row],[Kode Barang]],tblKeluar[Jumlah Keluar])</f>
        <v>0</v>
      </c>
      <c r="G126" s="49">
        <f>+tblKatalog[[#This Row],[Awal]]+tblKatalog[[#This Row],[Masuk]]-tblKatalog[[#This Row],[Keluar]]</f>
        <v>0</v>
      </c>
      <c r="I126" s="2">
        <v>0</v>
      </c>
    </row>
    <row r="127" spans="1:9" x14ac:dyDescent="0.25">
      <c r="A127" s="11" t="s">
        <v>354</v>
      </c>
      <c r="B127" s="11" t="s">
        <v>353</v>
      </c>
      <c r="C127" s="44" t="s">
        <v>355</v>
      </c>
      <c r="D127" s="49">
        <v>0</v>
      </c>
      <c r="E127" s="12">
        <f>+SUMIF(tblMasuk[Kode Barang],tblKatalog[[#This Row],[Kode Barang]],tblMasuk[Jumlah Masuk])</f>
        <v>0</v>
      </c>
      <c r="F127" s="12">
        <f>+SUMIF(tblKeluar[Kode Barang],tblKatalog[[#This Row],[Kode Barang]],tblKeluar[Jumlah Keluar])</f>
        <v>0</v>
      </c>
      <c r="G127" s="49">
        <f>+tblKatalog[[#This Row],[Awal]]+tblKatalog[[#This Row],[Masuk]]-tblKatalog[[#This Row],[Keluar]]</f>
        <v>0</v>
      </c>
      <c r="I127" s="2">
        <v>0</v>
      </c>
    </row>
    <row r="128" spans="1:9" x14ac:dyDescent="0.25">
      <c r="A128" s="11" t="s">
        <v>356</v>
      </c>
      <c r="B128" s="11" t="s">
        <v>440</v>
      </c>
      <c r="C128" s="11" t="s">
        <v>441</v>
      </c>
      <c r="D128" s="49">
        <v>3</v>
      </c>
      <c r="E128" s="12">
        <f>+SUMIF(tblMasuk[Kode Barang],tblKatalog[[#This Row],[Kode Barang]],tblMasuk[Jumlah Masuk])</f>
        <v>11</v>
      </c>
      <c r="F128" s="12">
        <f>+SUMIF(tblKeluar[Kode Barang],tblKatalog[[#This Row],[Kode Barang]],tblKeluar[Jumlah Keluar])</f>
        <v>11</v>
      </c>
      <c r="G128" s="49">
        <f>+tblKatalog[[#This Row],[Awal]]+tblKatalog[[#This Row],[Masuk]]-tblKatalog[[#This Row],[Keluar]]</f>
        <v>3</v>
      </c>
      <c r="I128" s="2">
        <v>0</v>
      </c>
    </row>
    <row r="129" spans="1:9" x14ac:dyDescent="0.25">
      <c r="A129" s="11" t="s">
        <v>359</v>
      </c>
      <c r="B129" s="11" t="s">
        <v>358</v>
      </c>
      <c r="C129" s="44" t="s">
        <v>360</v>
      </c>
      <c r="D129" s="49">
        <v>0</v>
      </c>
      <c r="E129" s="12">
        <f>+SUMIF(tblMasuk[Kode Barang],tblKatalog[[#This Row],[Kode Barang]],tblMasuk[Jumlah Masuk])</f>
        <v>0</v>
      </c>
      <c r="F129" s="12">
        <f>+SUMIF(tblKeluar[Kode Barang],tblKatalog[[#This Row],[Kode Barang]],tblKeluar[Jumlah Keluar])</f>
        <v>0</v>
      </c>
      <c r="G129" s="49">
        <f>+tblKatalog[[#This Row],[Awal]]+tblKatalog[[#This Row],[Masuk]]-tblKatalog[[#This Row],[Keluar]]</f>
        <v>0</v>
      </c>
      <c r="I129" s="2">
        <v>0</v>
      </c>
    </row>
    <row r="130" spans="1:9" x14ac:dyDescent="0.25">
      <c r="A130" s="11" t="s">
        <v>361</v>
      </c>
      <c r="B130" s="11" t="s">
        <v>362</v>
      </c>
      <c r="C130" s="44" t="s">
        <v>363</v>
      </c>
      <c r="D130" s="49">
        <v>2</v>
      </c>
      <c r="E130" s="12">
        <f>+SUMIF(tblMasuk[Kode Barang],tblKatalog[[#This Row],[Kode Barang]],tblMasuk[Jumlah Masuk])</f>
        <v>0</v>
      </c>
      <c r="F130" s="12">
        <f>+SUMIF(tblKeluar[Kode Barang],tblKatalog[[#This Row],[Kode Barang]],tblKeluar[Jumlah Keluar])</f>
        <v>0</v>
      </c>
      <c r="G130" s="49">
        <f>+tblKatalog[[#This Row],[Awal]]+tblKatalog[[#This Row],[Masuk]]-tblKatalog[[#This Row],[Keluar]]</f>
        <v>2</v>
      </c>
      <c r="I130" s="2">
        <v>0</v>
      </c>
    </row>
    <row r="131" spans="1:9" x14ac:dyDescent="0.25">
      <c r="A131" s="11" t="s">
        <v>365</v>
      </c>
      <c r="B131" s="11" t="s">
        <v>364</v>
      </c>
      <c r="C131" s="44" t="s">
        <v>366</v>
      </c>
      <c r="D131" s="49">
        <v>0</v>
      </c>
      <c r="E131" s="12">
        <f>+SUMIF(tblMasuk[Kode Barang],tblKatalog[[#This Row],[Kode Barang]],tblMasuk[Jumlah Masuk])</f>
        <v>0</v>
      </c>
      <c r="F131" s="12">
        <f>+SUMIF(tblKeluar[Kode Barang],tblKatalog[[#This Row],[Kode Barang]],tblKeluar[Jumlah Keluar])</f>
        <v>0</v>
      </c>
      <c r="G131" s="49">
        <f>+tblKatalog[[#This Row],[Awal]]+tblKatalog[[#This Row],[Masuk]]-tblKatalog[[#This Row],[Keluar]]</f>
        <v>0</v>
      </c>
      <c r="I131" s="2">
        <v>0</v>
      </c>
    </row>
    <row r="132" spans="1:9" x14ac:dyDescent="0.25">
      <c r="A132" s="11" t="s">
        <v>367</v>
      </c>
      <c r="B132" s="11" t="s">
        <v>368</v>
      </c>
      <c r="C132" s="44" t="s">
        <v>369</v>
      </c>
      <c r="D132" s="49">
        <v>0</v>
      </c>
      <c r="E132" s="12">
        <f>+SUMIF(tblMasuk[Kode Barang],tblKatalog[[#This Row],[Kode Barang]],tblMasuk[Jumlah Masuk])</f>
        <v>0</v>
      </c>
      <c r="F132" s="12">
        <f>+SUMIF(tblKeluar[Kode Barang],tblKatalog[[#This Row],[Kode Barang]],tblKeluar[Jumlah Keluar])</f>
        <v>0</v>
      </c>
      <c r="G132" s="49">
        <f>+tblKatalog[[#This Row],[Awal]]+tblKatalog[[#This Row],[Masuk]]-tblKatalog[[#This Row],[Keluar]]</f>
        <v>0</v>
      </c>
      <c r="I132" s="2">
        <v>0</v>
      </c>
    </row>
    <row r="133" spans="1:9" x14ac:dyDescent="0.25">
      <c r="A133" s="11" t="s">
        <v>370</v>
      </c>
      <c r="B133" s="11" t="s">
        <v>371</v>
      </c>
      <c r="C133" s="44" t="s">
        <v>372</v>
      </c>
      <c r="D133" s="49">
        <v>0</v>
      </c>
      <c r="E133" s="12">
        <f>+SUMIF(tblMasuk[Kode Barang],tblKatalog[[#This Row],[Kode Barang]],tblMasuk[Jumlah Masuk])</f>
        <v>0</v>
      </c>
      <c r="F133" s="12">
        <f>+SUMIF(tblKeluar[Kode Barang],tblKatalog[[#This Row],[Kode Barang]],tblKeluar[Jumlah Keluar])</f>
        <v>0</v>
      </c>
      <c r="G133" s="49">
        <f>+tblKatalog[[#This Row],[Awal]]+tblKatalog[[#This Row],[Masuk]]-tblKatalog[[#This Row],[Keluar]]</f>
        <v>0</v>
      </c>
      <c r="I133" s="2">
        <v>0</v>
      </c>
    </row>
    <row r="134" spans="1:9" x14ac:dyDescent="0.25">
      <c r="A134" s="11" t="s">
        <v>374</v>
      </c>
      <c r="B134" s="11" t="s">
        <v>375</v>
      </c>
      <c r="C134" s="44" t="s">
        <v>376</v>
      </c>
      <c r="D134" s="49">
        <v>0</v>
      </c>
      <c r="E134" s="12">
        <f>+SUMIF(tblMasuk[Kode Barang],tblKatalog[[#This Row],[Kode Barang]],tblMasuk[Jumlah Masuk])</f>
        <v>3</v>
      </c>
      <c r="F134" s="12">
        <f>+SUMIF(tblKeluar[Kode Barang],tblKatalog[[#This Row],[Kode Barang]],tblKeluar[Jumlah Keluar])</f>
        <v>3</v>
      </c>
      <c r="G134" s="49">
        <f>+tblKatalog[[#This Row],[Awal]]+tblKatalog[[#This Row],[Masuk]]-tblKatalog[[#This Row],[Keluar]]</f>
        <v>0</v>
      </c>
      <c r="I134" s="2">
        <v>0</v>
      </c>
    </row>
    <row r="135" spans="1:9" x14ac:dyDescent="0.25">
      <c r="A135" s="11" t="s">
        <v>377</v>
      </c>
      <c r="B135" s="11" t="s">
        <v>378</v>
      </c>
      <c r="C135" s="43" t="s">
        <v>226</v>
      </c>
      <c r="D135" s="49">
        <v>10</v>
      </c>
      <c r="E135" s="12">
        <f>+SUMIF(tblMasuk[Kode Barang],tblKatalog[[#This Row],[Kode Barang]],tblMasuk[Jumlah Masuk])</f>
        <v>1</v>
      </c>
      <c r="F135" s="12">
        <f>+SUMIF(tblKeluar[Kode Barang],tblKatalog[[#This Row],[Kode Barang]],tblKeluar[Jumlah Keluar])</f>
        <v>1</v>
      </c>
      <c r="G135" s="49">
        <f>+tblKatalog[[#This Row],[Awal]]+tblKatalog[[#This Row],[Masuk]]-tblKatalog[[#This Row],[Keluar]]</f>
        <v>10</v>
      </c>
      <c r="I135" s="2">
        <v>12</v>
      </c>
    </row>
    <row r="136" spans="1:9" x14ac:dyDescent="0.25">
      <c r="A136" s="11" t="s">
        <v>379</v>
      </c>
      <c r="B136" s="11" t="s">
        <v>380</v>
      </c>
      <c r="C136" s="44" t="s">
        <v>136</v>
      </c>
      <c r="D136" s="49">
        <v>0</v>
      </c>
      <c r="E136" s="12">
        <f>+SUMIF(tblMasuk[Kode Barang],tblKatalog[[#This Row],[Kode Barang]],tblMasuk[Jumlah Masuk])</f>
        <v>0</v>
      </c>
      <c r="F136" s="12">
        <f>+SUMIF(tblKeluar[Kode Barang],tblKatalog[[#This Row],[Kode Barang]],tblKeluar[Jumlah Keluar])</f>
        <v>0</v>
      </c>
      <c r="G136" s="49">
        <f>+tblKatalog[[#This Row],[Awal]]+tblKatalog[[#This Row],[Masuk]]-tblKatalog[[#This Row],[Keluar]]</f>
        <v>0</v>
      </c>
      <c r="I136" s="2">
        <v>0</v>
      </c>
    </row>
    <row r="137" spans="1:9" x14ac:dyDescent="0.25">
      <c r="A137" s="11" t="s">
        <v>381</v>
      </c>
      <c r="B137" s="11" t="s">
        <v>382</v>
      </c>
      <c r="C137" s="44" t="s">
        <v>136</v>
      </c>
      <c r="D137" s="49">
        <v>3</v>
      </c>
      <c r="E137" s="12">
        <f>+SUMIF(tblMasuk[Kode Barang],tblKatalog[[#This Row],[Kode Barang]],tblMasuk[Jumlah Masuk])</f>
        <v>0</v>
      </c>
      <c r="F137" s="12">
        <f>+SUMIF(tblKeluar[Kode Barang],tblKatalog[[#This Row],[Kode Barang]],tblKeluar[Jumlah Keluar])</f>
        <v>0</v>
      </c>
      <c r="G137" s="49">
        <f>+tblKatalog[[#This Row],[Awal]]+tblKatalog[[#This Row],[Masuk]]-tblKatalog[[#This Row],[Keluar]]</f>
        <v>3</v>
      </c>
      <c r="I137" s="2">
        <v>3</v>
      </c>
    </row>
    <row r="138" spans="1:9" x14ac:dyDescent="0.25">
      <c r="A138" s="11" t="s">
        <v>383</v>
      </c>
      <c r="B138" s="11" t="s">
        <v>384</v>
      </c>
      <c r="C138" s="11" t="s">
        <v>168</v>
      </c>
      <c r="D138" s="49">
        <v>0</v>
      </c>
      <c r="E138" s="12">
        <f>+SUMIF(tblMasuk[Kode Barang],tblKatalog[[#This Row],[Kode Barang]],tblMasuk[Jumlah Masuk])</f>
        <v>0</v>
      </c>
      <c r="F138" s="12">
        <f>+SUMIF(tblKeluar[Kode Barang],tblKatalog[[#This Row],[Kode Barang]],tblKeluar[Jumlah Keluar])</f>
        <v>0</v>
      </c>
      <c r="G138" s="49">
        <f>+tblKatalog[[#This Row],[Awal]]+tblKatalog[[#This Row],[Masuk]]-tblKatalog[[#This Row],[Keluar]]</f>
        <v>0</v>
      </c>
      <c r="I138" s="2">
        <v>0</v>
      </c>
    </row>
    <row r="139" spans="1:9" x14ac:dyDescent="0.25">
      <c r="A139" s="11" t="s">
        <v>385</v>
      </c>
      <c r="B139" s="11" t="s">
        <v>386</v>
      </c>
      <c r="C139" s="44" t="s">
        <v>387</v>
      </c>
      <c r="D139" s="49">
        <v>0</v>
      </c>
      <c r="E139" s="12">
        <f>+SUMIF(tblMasuk[Kode Barang],tblKatalog[[#This Row],[Kode Barang]],tblMasuk[Jumlah Masuk])</f>
        <v>0</v>
      </c>
      <c r="F139" s="12">
        <f>+SUMIF(tblKeluar[Kode Barang],tblKatalog[[#This Row],[Kode Barang]],tblKeluar[Jumlah Keluar])</f>
        <v>0</v>
      </c>
      <c r="G139" s="49">
        <f>+tblKatalog[[#This Row],[Awal]]+tblKatalog[[#This Row],[Masuk]]-tblKatalog[[#This Row],[Keluar]]</f>
        <v>0</v>
      </c>
      <c r="I139" s="2">
        <v>0</v>
      </c>
    </row>
    <row r="140" spans="1:9" x14ac:dyDescent="0.25">
      <c r="A140" s="11" t="s">
        <v>388</v>
      </c>
      <c r="B140" s="11" t="s">
        <v>390</v>
      </c>
      <c r="C140" s="44" t="s">
        <v>133</v>
      </c>
      <c r="D140" s="49">
        <v>0</v>
      </c>
      <c r="E140" s="12">
        <f>+SUMIF(tblMasuk[Kode Barang],tblKatalog[[#This Row],[Kode Barang]],tblMasuk[Jumlah Masuk])</f>
        <v>0</v>
      </c>
      <c r="F140" s="12">
        <f>+SUMIF(tblKeluar[Kode Barang],tblKatalog[[#This Row],[Kode Barang]],tblKeluar[Jumlah Keluar])</f>
        <v>0</v>
      </c>
      <c r="G140" s="49">
        <f>+tblKatalog[[#This Row],[Awal]]+tblKatalog[[#This Row],[Masuk]]-tblKatalog[[#This Row],[Keluar]]</f>
        <v>0</v>
      </c>
      <c r="I140" s="2">
        <v>0</v>
      </c>
    </row>
    <row r="141" spans="1:9" x14ac:dyDescent="0.25">
      <c r="A141" s="11" t="s">
        <v>389</v>
      </c>
      <c r="B141" s="11" t="s">
        <v>391</v>
      </c>
      <c r="C141" s="44" t="s">
        <v>133</v>
      </c>
      <c r="D141" s="49">
        <v>0</v>
      </c>
      <c r="E141" s="12">
        <f>+SUMIF(tblMasuk[Kode Barang],tblKatalog[[#This Row],[Kode Barang]],tblMasuk[Jumlah Masuk])</f>
        <v>0</v>
      </c>
      <c r="F141" s="12">
        <f>+SUMIF(tblKeluar[Kode Barang],tblKatalog[[#This Row],[Kode Barang]],tblKeluar[Jumlah Keluar])</f>
        <v>0</v>
      </c>
      <c r="G141" s="49">
        <f>+tblKatalog[[#This Row],[Awal]]+tblKatalog[[#This Row],[Masuk]]-tblKatalog[[#This Row],[Keluar]]</f>
        <v>0</v>
      </c>
      <c r="I141" s="2">
        <v>0</v>
      </c>
    </row>
    <row r="142" spans="1:9" x14ac:dyDescent="0.25">
      <c r="A142" s="11" t="s">
        <v>392</v>
      </c>
      <c r="B142" s="11" t="s">
        <v>393</v>
      </c>
      <c r="C142" s="44" t="s">
        <v>394</v>
      </c>
      <c r="D142" s="49">
        <v>0</v>
      </c>
      <c r="E142" s="12">
        <f>+SUMIF(tblMasuk[Kode Barang],tblKatalog[[#This Row],[Kode Barang]],tblMasuk[Jumlah Masuk])</f>
        <v>0</v>
      </c>
      <c r="F142" s="12">
        <f>+SUMIF(tblKeluar[Kode Barang],tblKatalog[[#This Row],[Kode Barang]],tblKeluar[Jumlah Keluar])</f>
        <v>0</v>
      </c>
      <c r="G142" s="49">
        <f>+tblKatalog[[#This Row],[Awal]]+tblKatalog[[#This Row],[Masuk]]-tblKatalog[[#This Row],[Keluar]]</f>
        <v>0</v>
      </c>
      <c r="I142" s="2">
        <v>0</v>
      </c>
    </row>
    <row r="143" spans="1:9" x14ac:dyDescent="0.25">
      <c r="A143" s="11" t="s">
        <v>395</v>
      </c>
      <c r="B143" s="11" t="s">
        <v>396</v>
      </c>
      <c r="C143" s="44" t="s">
        <v>397</v>
      </c>
      <c r="D143" s="49">
        <v>0</v>
      </c>
      <c r="E143" s="12">
        <f>+SUMIF(tblMasuk[Kode Barang],tblKatalog[[#This Row],[Kode Barang]],tblMasuk[Jumlah Masuk])</f>
        <v>0</v>
      </c>
      <c r="F143" s="12">
        <f>+SUMIF(tblKeluar[Kode Barang],tblKatalog[[#This Row],[Kode Barang]],tblKeluar[Jumlah Keluar])</f>
        <v>0</v>
      </c>
      <c r="G143" s="49">
        <f>+tblKatalog[[#This Row],[Awal]]+tblKatalog[[#This Row],[Masuk]]-tblKatalog[[#This Row],[Keluar]]</f>
        <v>0</v>
      </c>
      <c r="I143" s="2">
        <v>0</v>
      </c>
    </row>
    <row r="144" spans="1:9" x14ac:dyDescent="0.25">
      <c r="A144" s="11" t="s">
        <v>398</v>
      </c>
      <c r="B144" s="11" t="s">
        <v>400</v>
      </c>
      <c r="C144" s="44" t="s">
        <v>399</v>
      </c>
      <c r="D144" s="49">
        <v>7</v>
      </c>
      <c r="E144" s="12">
        <f>+SUMIF(tblMasuk[Kode Barang],tblKatalog[[#This Row],[Kode Barang]],tblMasuk[Jumlah Masuk])</f>
        <v>0</v>
      </c>
      <c r="F144" s="12">
        <f>+SUMIF(tblKeluar[Kode Barang],tblKatalog[[#This Row],[Kode Barang]],tblKeluar[Jumlah Keluar])</f>
        <v>1</v>
      </c>
      <c r="G144" s="49">
        <f>+tblKatalog[[#This Row],[Awal]]+tblKatalog[[#This Row],[Masuk]]-tblKatalog[[#This Row],[Keluar]]</f>
        <v>6</v>
      </c>
      <c r="I144" s="2">
        <v>7</v>
      </c>
    </row>
    <row r="145" spans="1:9" x14ac:dyDescent="0.25">
      <c r="A145" s="11" t="s">
        <v>401</v>
      </c>
      <c r="B145" s="11" t="s">
        <v>402</v>
      </c>
      <c r="C145" s="44" t="s">
        <v>403</v>
      </c>
      <c r="D145" s="49">
        <v>0</v>
      </c>
      <c r="E145" s="12">
        <f>+SUMIF(tblMasuk[Kode Barang],tblKatalog[[#This Row],[Kode Barang]],tblMasuk[Jumlah Masuk])</f>
        <v>0</v>
      </c>
      <c r="F145" s="12">
        <f>+SUMIF(tblKeluar[Kode Barang],tblKatalog[[#This Row],[Kode Barang]],tblKeluar[Jumlah Keluar])</f>
        <v>0</v>
      </c>
      <c r="G145" s="49">
        <f>+tblKatalog[[#This Row],[Awal]]+tblKatalog[[#This Row],[Masuk]]-tblKatalog[[#This Row],[Keluar]]</f>
        <v>0</v>
      </c>
    </row>
    <row r="146" spans="1:9" x14ac:dyDescent="0.25">
      <c r="A146" s="11" t="s">
        <v>406</v>
      </c>
      <c r="B146" s="11" t="s">
        <v>407</v>
      </c>
      <c r="C146" s="44" t="s">
        <v>408</v>
      </c>
      <c r="D146" s="49">
        <v>2</v>
      </c>
      <c r="E146" s="12">
        <f>+SUMIF(tblMasuk[Kode Barang],tblKatalog[[#This Row],[Kode Barang]],tblMasuk[Jumlah Masuk])</f>
        <v>0</v>
      </c>
      <c r="F146" s="12">
        <f>+SUMIF(tblKeluar[Kode Barang],tblKatalog[[#This Row],[Kode Barang]],tblKeluar[Jumlah Keluar])</f>
        <v>1</v>
      </c>
      <c r="G146" s="49">
        <f>+tblKatalog[[#This Row],[Awal]]+tblKatalog[[#This Row],[Masuk]]-tblKatalog[[#This Row],[Keluar]]</f>
        <v>1</v>
      </c>
    </row>
    <row r="147" spans="1:9" x14ac:dyDescent="0.25">
      <c r="A147" s="11" t="s">
        <v>409</v>
      </c>
      <c r="B147" s="11" t="s">
        <v>410</v>
      </c>
      <c r="C147" s="44" t="s">
        <v>411</v>
      </c>
      <c r="D147" s="49">
        <v>0</v>
      </c>
      <c r="E147" s="12">
        <f>+SUMIF(tblMasuk[Kode Barang],tblKatalog[[#This Row],[Kode Barang]],tblMasuk[Jumlah Masuk])</f>
        <v>0</v>
      </c>
      <c r="F147" s="12">
        <f>+SUMIF(tblKeluar[Kode Barang],tblKatalog[[#This Row],[Kode Barang]],tblKeluar[Jumlah Keluar])</f>
        <v>0</v>
      </c>
      <c r="G147" s="49">
        <f>+tblKatalog[[#This Row],[Awal]]+tblKatalog[[#This Row],[Masuk]]-tblKatalog[[#This Row],[Keluar]]</f>
        <v>0</v>
      </c>
      <c r="I147" s="2">
        <v>0</v>
      </c>
    </row>
    <row r="148" spans="1:9" x14ac:dyDescent="0.25">
      <c r="A148" s="11" t="s">
        <v>412</v>
      </c>
      <c r="B148" s="11" t="s">
        <v>413</v>
      </c>
      <c r="C148" s="43" t="s">
        <v>136</v>
      </c>
      <c r="D148" s="49">
        <v>3</v>
      </c>
      <c r="E148" s="12">
        <f>+SUMIF(tblMasuk[Kode Barang],tblKatalog[[#This Row],[Kode Barang]],tblMasuk[Jumlah Masuk])</f>
        <v>0</v>
      </c>
      <c r="F148" s="12">
        <f>+SUMIF(tblKeluar[Kode Barang],tblKatalog[[#This Row],[Kode Barang]],tblKeluar[Jumlah Keluar])</f>
        <v>0</v>
      </c>
      <c r="G148" s="49">
        <f>+tblKatalog[[#This Row],[Awal]]+tblKatalog[[#This Row],[Masuk]]-tblKatalog[[#This Row],[Keluar]]</f>
        <v>3</v>
      </c>
      <c r="I148" s="2">
        <v>0</v>
      </c>
    </row>
    <row r="149" spans="1:9" x14ac:dyDescent="0.25">
      <c r="A149" s="11" t="s">
        <v>415</v>
      </c>
      <c r="B149" s="11" t="s">
        <v>414</v>
      </c>
      <c r="C149" s="44" t="s">
        <v>418</v>
      </c>
      <c r="D149" s="49">
        <v>0</v>
      </c>
      <c r="E149" s="47">
        <f>+SUMIF(tblMasuk[Kode Barang],tblKatalog[[#This Row],[Kode Barang]],tblMasuk[Jumlah Masuk])</f>
        <v>0</v>
      </c>
      <c r="F149" s="47">
        <f>+SUMIF(tblKeluar[Kode Barang],tblKatalog[[#This Row],[Kode Barang]],tblKeluar[Jumlah Keluar])</f>
        <v>0</v>
      </c>
      <c r="G149" s="49">
        <f>+tblKatalog[[#This Row],[Awal]]+tblKatalog[[#This Row],[Masuk]]-tblKatalog[[#This Row],[Keluar]]</f>
        <v>0</v>
      </c>
      <c r="I149" s="2">
        <v>0</v>
      </c>
    </row>
    <row r="150" spans="1:9" x14ac:dyDescent="0.25">
      <c r="A150" s="11" t="s">
        <v>416</v>
      </c>
      <c r="B150" s="11" t="s">
        <v>417</v>
      </c>
      <c r="C150" s="44" t="s">
        <v>419</v>
      </c>
      <c r="D150" s="49">
        <v>0</v>
      </c>
      <c r="E150" s="47">
        <f>+SUMIF(tblMasuk[Kode Barang],tblKatalog[[#This Row],[Kode Barang]],tblMasuk[Jumlah Masuk])</f>
        <v>0</v>
      </c>
      <c r="F150" s="47">
        <f>+SUMIF(tblKeluar[Kode Barang],tblKatalog[[#This Row],[Kode Barang]],tblKeluar[Jumlah Keluar])</f>
        <v>0</v>
      </c>
      <c r="G150" s="49">
        <f>+tblKatalog[[#This Row],[Awal]]+tblKatalog[[#This Row],[Masuk]]-tblKatalog[[#This Row],[Keluar]]</f>
        <v>0</v>
      </c>
      <c r="I150" s="2">
        <v>0</v>
      </c>
    </row>
    <row r="151" spans="1:9" x14ac:dyDescent="0.25">
      <c r="A151" s="11" t="s">
        <v>420</v>
      </c>
      <c r="B151" s="11" t="s">
        <v>421</v>
      </c>
      <c r="C151" s="44" t="s">
        <v>422</v>
      </c>
      <c r="D151" s="49">
        <v>0</v>
      </c>
      <c r="E151" s="47">
        <f>+SUMIF(tblMasuk[Kode Barang],tblKatalog[[#This Row],[Kode Barang]],tblMasuk[Jumlah Masuk])</f>
        <v>0</v>
      </c>
      <c r="F151" s="47">
        <f>+SUMIF(tblKeluar[Kode Barang],tblKatalog[[#This Row],[Kode Barang]],tblKeluar[Jumlah Keluar])</f>
        <v>0</v>
      </c>
      <c r="G151" s="49">
        <f>+tblKatalog[[#This Row],[Awal]]+tblKatalog[[#This Row],[Masuk]]-tblKatalog[[#This Row],[Keluar]]</f>
        <v>0</v>
      </c>
      <c r="I151" s="2">
        <v>0</v>
      </c>
    </row>
    <row r="152" spans="1:9" x14ac:dyDescent="0.25">
      <c r="A152" s="11" t="s">
        <v>423</v>
      </c>
      <c r="B152" s="11" t="s">
        <v>424</v>
      </c>
      <c r="C152" s="44" t="s">
        <v>425</v>
      </c>
      <c r="D152" s="49">
        <v>0</v>
      </c>
      <c r="E152" s="47">
        <f>+SUMIF(tblMasuk[Kode Barang],tblKatalog[[#This Row],[Kode Barang]],tblMasuk[Jumlah Masuk])</f>
        <v>0</v>
      </c>
      <c r="F152" s="47">
        <f>+SUMIF(tblKeluar[Kode Barang],tblKatalog[[#This Row],[Kode Barang]],tblKeluar[Jumlah Keluar])</f>
        <v>0</v>
      </c>
      <c r="G152" s="49">
        <f>+tblKatalog[[#This Row],[Awal]]+tblKatalog[[#This Row],[Masuk]]-tblKatalog[[#This Row],[Keluar]]</f>
        <v>0</v>
      </c>
      <c r="I152" s="2">
        <v>0</v>
      </c>
    </row>
    <row r="153" spans="1:9" x14ac:dyDescent="0.25">
      <c r="A153" s="11"/>
      <c r="B153" s="11"/>
      <c r="C153" s="43"/>
      <c r="D153" s="11"/>
      <c r="E153" s="12"/>
      <c r="F153" s="12"/>
      <c r="G153" s="40"/>
    </row>
    <row r="155" spans="1:9" x14ac:dyDescent="0.25">
      <c r="B155" s="2" t="s">
        <v>429</v>
      </c>
      <c r="D155" s="2">
        <v>27</v>
      </c>
    </row>
    <row r="156" spans="1:9" x14ac:dyDescent="0.25">
      <c r="B156" s="2" t="s">
        <v>430</v>
      </c>
      <c r="D156" s="2">
        <v>8</v>
      </c>
    </row>
    <row r="157" spans="1:9" x14ac:dyDescent="0.25">
      <c r="B157" s="2" t="s">
        <v>431</v>
      </c>
      <c r="D157" s="2">
        <v>25</v>
      </c>
    </row>
    <row r="158" spans="1:9" x14ac:dyDescent="0.25">
      <c r="B158" s="2" t="s">
        <v>432</v>
      </c>
      <c r="D158" s="2">
        <v>8</v>
      </c>
    </row>
    <row r="159" spans="1:9" x14ac:dyDescent="0.25">
      <c r="B159" s="2" t="s">
        <v>433</v>
      </c>
      <c r="D159" s="2">
        <v>27</v>
      </c>
    </row>
    <row r="160" spans="1:9" x14ac:dyDescent="0.25">
      <c r="B160" s="2" t="s">
        <v>434</v>
      </c>
      <c r="D160" s="2">
        <v>6</v>
      </c>
    </row>
    <row r="161" spans="2:4" x14ac:dyDescent="0.25">
      <c r="B161" s="2" t="s">
        <v>435</v>
      </c>
      <c r="D161" s="2">
        <v>6</v>
      </c>
    </row>
    <row r="162" spans="2:4" x14ac:dyDescent="0.25">
      <c r="B162" s="2" t="s">
        <v>436</v>
      </c>
      <c r="D162" s="2">
        <v>6</v>
      </c>
    </row>
    <row r="163" spans="2:4" x14ac:dyDescent="0.25">
      <c r="B163" s="2" t="s">
        <v>437</v>
      </c>
      <c r="D163" s="2">
        <v>12</v>
      </c>
    </row>
    <row r="164" spans="2:4" x14ac:dyDescent="0.25">
      <c r="B164" s="2" t="s">
        <v>438</v>
      </c>
      <c r="D164" s="2">
        <v>1</v>
      </c>
    </row>
    <row r="165" spans="2:4" x14ac:dyDescent="0.25">
      <c r="B165" s="2" t="s">
        <v>439</v>
      </c>
      <c r="D165" s="2">
        <v>1</v>
      </c>
    </row>
  </sheetData>
  <mergeCells count="2">
    <mergeCell ref="A1:G3"/>
    <mergeCell ref="E5:G5"/>
  </mergeCells>
  <hyperlinks>
    <hyperlink ref="C10" r:id="rId1" display="ABC@600ml" xr:uid="{00000000-0004-0000-0000-000000000000}"/>
    <hyperlink ref="C124" r:id="rId2" display="ABC@600ml" xr:uid="{00000000-0004-0000-0000-000001000000}"/>
    <hyperlink ref="C93" r:id="rId3" display="ABC@600ml" xr:uid="{00000000-0004-0000-0000-000002000000}"/>
  </hyperlinks>
  <pageMargins left="0.23622047244094491" right="0.23622047244094491" top="0.19685039370078741" bottom="0.19685039370078741" header="0.31496062992125984" footer="0.31496062992125984"/>
  <pageSetup scale="86" fitToHeight="0" orientation="portrait" r:id="rId4"/>
  <drawing r:id="rId5"/>
  <legacy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4"/>
  <sheetViews>
    <sheetView topLeftCell="A37" zoomScale="85" zoomScaleNormal="85" workbookViewId="0">
      <selection activeCell="D75" sqref="D75"/>
    </sheetView>
  </sheetViews>
  <sheetFormatPr defaultRowHeight="15" x14ac:dyDescent="0.25"/>
  <cols>
    <col min="1" max="1" width="15.7109375" customWidth="1"/>
    <col min="2" max="2" width="17.140625" customWidth="1"/>
    <col min="3" max="3" width="31.5703125" bestFit="1" customWidth="1"/>
    <col min="4" max="4" width="27" customWidth="1"/>
    <col min="5" max="5" width="17.140625" customWidth="1"/>
    <col min="6" max="6" width="15.28515625" customWidth="1"/>
    <col min="7" max="7" width="0.7109375" style="39" customWidth="1"/>
    <col min="8" max="8" width="9.140625" customWidth="1"/>
    <col min="9" max="9" width="27.5703125" bestFit="1" customWidth="1"/>
  </cols>
  <sheetData>
    <row r="1" spans="1:10" s="2" customFormat="1" ht="15" customHeight="1" x14ac:dyDescent="0.25">
      <c r="A1" s="61" t="s">
        <v>43</v>
      </c>
      <c r="B1" s="61"/>
      <c r="C1" s="61"/>
      <c r="D1" s="61"/>
      <c r="E1" s="61"/>
      <c r="F1" s="9"/>
      <c r="G1" s="36"/>
      <c r="H1" s="9"/>
    </row>
    <row r="2" spans="1:10" s="2" customFormat="1" ht="15" customHeight="1" x14ac:dyDescent="0.25">
      <c r="A2" s="61"/>
      <c r="B2" s="61"/>
      <c r="C2" s="61"/>
      <c r="D2" s="61"/>
      <c r="E2" s="61"/>
      <c r="F2" s="9"/>
      <c r="G2" s="36"/>
      <c r="H2" s="9"/>
    </row>
    <row r="3" spans="1:10" s="2" customFormat="1" ht="15" customHeight="1" x14ac:dyDescent="0.25">
      <c r="A3" s="61"/>
      <c r="B3" s="61"/>
      <c r="C3" s="61"/>
      <c r="D3" s="61"/>
      <c r="E3" s="61"/>
      <c r="F3" s="9"/>
      <c r="G3" s="36"/>
      <c r="H3" s="9"/>
    </row>
    <row r="4" spans="1:10" s="2" customFormat="1" x14ac:dyDescent="0.25">
      <c r="A4" s="4" t="s">
        <v>11</v>
      </c>
      <c r="B4" s="4" t="s">
        <v>426</v>
      </c>
      <c r="C4" s="5"/>
      <c r="D4" s="5"/>
      <c r="E4" s="48" t="s">
        <v>448</v>
      </c>
      <c r="F4" s="10"/>
      <c r="G4" s="37"/>
      <c r="H4" s="10"/>
    </row>
    <row r="5" spans="1:10" s="2" customFormat="1" x14ac:dyDescent="0.25">
      <c r="A5" s="6" t="s">
        <v>13</v>
      </c>
      <c r="B5" s="7" t="s">
        <v>12</v>
      </c>
      <c r="C5" s="3"/>
      <c r="D5" s="62" t="s">
        <v>14</v>
      </c>
      <c r="E5" s="62"/>
      <c r="F5" s="11"/>
      <c r="G5" s="38"/>
      <c r="H5" s="11"/>
    </row>
    <row r="6" spans="1:10" x14ac:dyDescent="0.25">
      <c r="A6" s="1" t="s">
        <v>6</v>
      </c>
      <c r="B6" s="1" t="s">
        <v>0</v>
      </c>
      <c r="C6" s="1" t="s">
        <v>10</v>
      </c>
      <c r="D6" s="1" t="s">
        <v>1</v>
      </c>
      <c r="E6" s="1" t="s">
        <v>7</v>
      </c>
      <c r="H6" s="63" t="s">
        <v>19</v>
      </c>
      <c r="I6" s="63"/>
      <c r="J6" s="63"/>
    </row>
    <row r="7" spans="1:10" x14ac:dyDescent="0.25">
      <c r="A7" s="21">
        <v>46121</v>
      </c>
      <c r="B7" s="42" t="s">
        <v>251</v>
      </c>
      <c r="C7" s="26" t="str">
        <f>+VLOOKUP(tblMasuk[[#This Row],[Kode Barang]],tblKatalog[],2)</f>
        <v>Cutter</v>
      </c>
      <c r="D7" s="26" t="str">
        <f>+VLOOKUP(tblMasuk[[#This Row],[Kode Barang]],tblKatalog[],3)</f>
        <v>Kenko L500</v>
      </c>
      <c r="E7" s="14">
        <v>3</v>
      </c>
      <c r="H7" s="34" t="s">
        <v>20</v>
      </c>
      <c r="I7" s="34" t="str">
        <f>+VLOOKUP(H7,tblKatalog[],2)</f>
        <v>Binder Clips@No.105</v>
      </c>
      <c r="J7" s="35">
        <f>+SUMIF($B$7:$B$999787,"GAA001",E$7:$E$999787)</f>
        <v>0</v>
      </c>
    </row>
    <row r="8" spans="1:10" x14ac:dyDescent="0.25">
      <c r="A8" s="21">
        <v>46121</v>
      </c>
      <c r="B8" s="42" t="s">
        <v>250</v>
      </c>
      <c r="C8" s="26" t="str">
        <f>+VLOOKUP(tblMasuk[[#This Row],[Kode Barang]],tblKatalog[],2)</f>
        <v>Gunting Sedang</v>
      </c>
      <c r="D8" s="26" t="str">
        <f>+VLOOKUP(tblMasuk[[#This Row],[Kode Barang]],tblKatalog[],3)</f>
        <v>Joyko @SC-848</v>
      </c>
      <c r="E8" s="14">
        <v>5</v>
      </c>
      <c r="H8" s="34" t="s">
        <v>21</v>
      </c>
      <c r="I8" s="34" t="str">
        <f>+VLOOKUP(H8,tblKatalog[],2)</f>
        <v>Binder Clips@No.200</v>
      </c>
      <c r="J8" s="35">
        <f>+SUMIF($B$7:$B$999787,"GAA002",E$7:$E$999787)</f>
        <v>11</v>
      </c>
    </row>
    <row r="9" spans="1:10" x14ac:dyDescent="0.25">
      <c r="A9" s="21">
        <v>46121</v>
      </c>
      <c r="B9" s="42" t="s">
        <v>326</v>
      </c>
      <c r="C9" s="26" t="str">
        <f>+VLOOKUP(tblMasuk[[#This Row],[Kode Barang]],tblKatalog[],2)</f>
        <v>Karet Gelang</v>
      </c>
      <c r="D9" s="26" t="str">
        <f>+VLOOKUP(tblMasuk[[#This Row],[Kode Barang]],tblKatalog[],3)</f>
        <v>@1pack</v>
      </c>
      <c r="E9" s="14">
        <v>2</v>
      </c>
      <c r="H9" s="34" t="s">
        <v>22</v>
      </c>
      <c r="I9" s="34" t="str">
        <f>+VLOOKUP(H9,tblKatalog[],2)</f>
        <v>Binder Clips@No.107</v>
      </c>
      <c r="J9" s="35">
        <f>+SUMIF($B$7:$B$999787,"GAA003",E$7:$E$999787)</f>
        <v>0</v>
      </c>
    </row>
    <row r="10" spans="1:10" x14ac:dyDescent="0.25">
      <c r="A10" s="21">
        <v>46121</v>
      </c>
      <c r="B10" s="42" t="s">
        <v>329</v>
      </c>
      <c r="C10" s="26" t="str">
        <f>+VLOOKUP(tblMasuk[[#This Row],[Kode Barang]],tblKatalog[],2)</f>
        <v>Post It Sign Here</v>
      </c>
      <c r="D10" s="26" t="str">
        <f>+VLOOKUP(tblMasuk[[#This Row],[Kode Barang]],tblKatalog[],3)</f>
        <v>BIG 44x12 mm</v>
      </c>
      <c r="E10" s="14">
        <v>4</v>
      </c>
      <c r="H10" s="34" t="s">
        <v>23</v>
      </c>
      <c r="I10" s="34" t="str">
        <f>+VLOOKUP(H10,tblKatalog[],2)</f>
        <v>Glossy Photo Paper</v>
      </c>
      <c r="J10" s="35">
        <f>+SUMIF($B$7:$B$999787,"GAA004",E$7:$E$999787)</f>
        <v>3</v>
      </c>
    </row>
    <row r="11" spans="1:10" x14ac:dyDescent="0.25">
      <c r="A11" s="21">
        <v>46121</v>
      </c>
      <c r="B11" s="42" t="s">
        <v>321</v>
      </c>
      <c r="C11" s="26" t="str">
        <f>+VLOOKUP(tblMasuk[[#This Row],[Kode Barang]],tblKatalog[],2)</f>
        <v>Post It Sedang</v>
      </c>
      <c r="D11" s="26" t="str">
        <f>+VLOOKUP(tblMasuk[[#This Row],[Kode Barang]],tblKatalog[],3)</f>
        <v>BIG 76x51 mm</v>
      </c>
      <c r="E11" s="14">
        <v>8</v>
      </c>
      <c r="H11" s="34" t="s">
        <v>24</v>
      </c>
      <c r="I11" s="34" t="str">
        <f>+VLOOKUP(H11,tblKatalog[],2)</f>
        <v>Amplop Coklat F4</v>
      </c>
      <c r="J11" s="35">
        <f>+SUMIF($B$7:$B$999787,"GAA005",E$7:$E$999787)</f>
        <v>1</v>
      </c>
    </row>
    <row r="12" spans="1:10" x14ac:dyDescent="0.25">
      <c r="A12" s="21">
        <v>46121</v>
      </c>
      <c r="B12" s="42" t="s">
        <v>356</v>
      </c>
      <c r="C12" s="26" t="str">
        <f>+VLOOKUP(tblMasuk[[#This Row],[Kode Barang]],tblKatalog[],2)</f>
        <v>Post It 3 Color</v>
      </c>
      <c r="D12" s="26" t="str">
        <f>+VLOOKUP(tblMasuk[[#This Row],[Kode Barang]],tblKatalog[],3)</f>
        <v>20x50 mm</v>
      </c>
      <c r="E12" s="14">
        <v>6</v>
      </c>
      <c r="H12" s="34" t="s">
        <v>25</v>
      </c>
      <c r="I12" s="34" t="str">
        <f>+VLOOKUP(H12,tblKatalog[],2)</f>
        <v>Map F4</v>
      </c>
      <c r="J12" s="35">
        <f>+SUMIF($B$7:$B$999787,"GAA006",E$7:$E$999787)</f>
        <v>1</v>
      </c>
    </row>
    <row r="13" spans="1:10" x14ac:dyDescent="0.25">
      <c r="A13" s="21">
        <v>46121</v>
      </c>
      <c r="B13" s="42" t="s">
        <v>180</v>
      </c>
      <c r="C13" s="26" t="str">
        <f>+VLOOKUP(tblMasuk[[#This Row],[Kode Barang]],tblKatalog[],2)</f>
        <v xml:space="preserve">Post It Kecil </v>
      </c>
      <c r="D13" s="26" t="str">
        <f>+VLOOKUP(tblMasuk[[#This Row],[Kode Barang]],tblKatalog[],3)</f>
        <v>BIG 51x38 mm</v>
      </c>
      <c r="E13" s="14">
        <v>14</v>
      </c>
      <c r="H13" s="34" t="s">
        <v>26</v>
      </c>
      <c r="I13" s="34" t="str">
        <f>+VLOOKUP(H13,tblKatalog[],2)</f>
        <v>Lakban Kertas Sedang</v>
      </c>
      <c r="J13" s="35">
        <f>+SUMIF($B$7:$B$999787,"GAA007",E$7:$E$999787)</f>
        <v>0</v>
      </c>
    </row>
    <row r="14" spans="1:10" x14ac:dyDescent="0.25">
      <c r="A14" s="21">
        <v>46121</v>
      </c>
      <c r="B14" s="42" t="s">
        <v>181</v>
      </c>
      <c r="C14" s="26" t="str">
        <f>+VLOOKUP(tblMasuk[[#This Row],[Kode Barang]],tblKatalog[],2)</f>
        <v xml:space="preserve">Post It Besar </v>
      </c>
      <c r="D14" s="26" t="str">
        <f>+VLOOKUP(tblMasuk[[#This Row],[Kode Barang]],tblKatalog[],3)</f>
        <v>BIG 76x76 mm</v>
      </c>
      <c r="E14" s="14">
        <v>10</v>
      </c>
      <c r="H14" s="34" t="s">
        <v>27</v>
      </c>
      <c r="I14" s="34" t="str">
        <f>+VLOOKUP(H14,tblKatalog[],2)</f>
        <v>Lakban Kertas Besar</v>
      </c>
      <c r="J14" s="35">
        <f>+SUMIF($B$7:$B$999787,"GAA008",E$7:$E$999787)</f>
        <v>6</v>
      </c>
    </row>
    <row r="15" spans="1:10" x14ac:dyDescent="0.25">
      <c r="A15" s="21">
        <v>46121</v>
      </c>
      <c r="B15" s="42" t="s">
        <v>28</v>
      </c>
      <c r="C15" s="26" t="str">
        <f>+VLOOKUP(tblMasuk[[#This Row],[Kode Barang]],tblKatalog[],2)</f>
        <v>Lakban Coklat Besar</v>
      </c>
      <c r="D15" s="26" t="str">
        <f>+VLOOKUP(tblMasuk[[#This Row],[Kode Barang]],tblKatalog[],3)</f>
        <v>Daimaru @48mm</v>
      </c>
      <c r="E15" s="14">
        <v>30</v>
      </c>
      <c r="H15" s="34" t="s">
        <v>28</v>
      </c>
      <c r="I15" s="34" t="str">
        <f>+VLOOKUP(H15,tblKatalog[],2)</f>
        <v>Lakban Coklat Besar</v>
      </c>
      <c r="J15" s="35">
        <f>+SUMIF($B$7:$B$999787,"GAA009",E$7:$E$999787)</f>
        <v>33</v>
      </c>
    </row>
    <row r="16" spans="1:10" x14ac:dyDescent="0.25">
      <c r="A16" s="21">
        <v>46121</v>
      </c>
      <c r="B16" s="42" t="s">
        <v>27</v>
      </c>
      <c r="C16" s="26" t="str">
        <f>+VLOOKUP(tblMasuk[[#This Row],[Kode Barang]],tblKatalog[],2)</f>
        <v>Lakban Kertas Besar</v>
      </c>
      <c r="D16" s="26" t="str">
        <f>+VLOOKUP(tblMasuk[[#This Row],[Kode Barang]],tblKatalog[],3)</f>
        <v>Eka Tape @48mm</v>
      </c>
      <c r="E16" s="14">
        <v>3</v>
      </c>
      <c r="H16" s="34" t="s">
        <v>29</v>
      </c>
      <c r="I16" s="34" t="str">
        <f>+VLOOKUP(H16,tblKatalog[],2)</f>
        <v>Lakban Bening Besar</v>
      </c>
      <c r="J16" s="35">
        <f>+SUMIF($B$7:$B$999787,"GAA010",E$7:$E$999787)</f>
        <v>23</v>
      </c>
    </row>
    <row r="17" spans="1:10" x14ac:dyDescent="0.25">
      <c r="A17" s="21">
        <v>46121</v>
      </c>
      <c r="B17" s="42" t="s">
        <v>29</v>
      </c>
      <c r="C17" s="26" t="str">
        <f>+VLOOKUP(tblMasuk[[#This Row],[Kode Barang]],tblKatalog[],2)</f>
        <v>Lakban Bening Besar</v>
      </c>
      <c r="D17" s="26" t="str">
        <f>+VLOOKUP(tblMasuk[[#This Row],[Kode Barang]],tblKatalog[],3)</f>
        <v>Daimaru @48mm</v>
      </c>
      <c r="E17" s="14">
        <v>15</v>
      </c>
      <c r="H17" s="34" t="s">
        <v>30</v>
      </c>
      <c r="I17" s="34" t="str">
        <f>+VLOOKUP(H17,tblKatalog[],2)</f>
        <v>Mika Film</v>
      </c>
      <c r="J17" s="35">
        <f>+SUMIF($B$7:$B$999787,"GAA011",E$7:$E$999787)</f>
        <v>0</v>
      </c>
    </row>
    <row r="18" spans="1:10" x14ac:dyDescent="0.25">
      <c r="A18" s="21">
        <v>46121</v>
      </c>
      <c r="B18" s="42" t="s">
        <v>186</v>
      </c>
      <c r="C18" s="26" t="str">
        <f>+VLOOKUP(tblMasuk[[#This Row],[Kode Barang]],tblKatalog[],2)</f>
        <v>Lakban Hitam Besar</v>
      </c>
      <c r="D18" s="26" t="str">
        <f>+VLOOKUP(tblMasuk[[#This Row],[Kode Barang]],tblKatalog[],3)</f>
        <v>Daimaru @48mm</v>
      </c>
      <c r="E18" s="14">
        <v>4</v>
      </c>
      <c r="H18" s="34" t="s">
        <v>31</v>
      </c>
      <c r="I18" s="34" t="str">
        <f>+VLOOKUP(H18,tblKatalog[],2)</f>
        <v>Kertas Cover Buffalo Merah A4</v>
      </c>
      <c r="J18" s="35">
        <f>+SUMIF($B$7:$B$999787,"GAA012",E$7:$E$999787)</f>
        <v>0</v>
      </c>
    </row>
    <row r="19" spans="1:10" x14ac:dyDescent="0.25">
      <c r="A19" s="21">
        <v>46121</v>
      </c>
      <c r="B19" s="42" t="s">
        <v>129</v>
      </c>
      <c r="C19" s="26" t="str">
        <f>+VLOOKUP(tblMasuk[[#This Row],[Kode Barang]],tblKatalog[],2)</f>
        <v>Kertas Cover Buffalo Putih A4</v>
      </c>
      <c r="D19" s="26" t="str">
        <f>+VLOOKUP(tblMasuk[[#This Row],[Kode Barang]],tblKatalog[],3)</f>
        <v>@1 Pack = 100 Sheet</v>
      </c>
      <c r="E19" s="14">
        <v>1</v>
      </c>
      <c r="H19" s="34" t="s">
        <v>32</v>
      </c>
      <c r="I19" s="34" t="str">
        <f>+VLOOKUP(H19,tblKatalog[],2)</f>
        <v>Kertas Karbon</v>
      </c>
      <c r="J19" s="35">
        <f>+SUMIF($B$7:$B$999787,"GAA013",E$7:$E$999787)</f>
        <v>0</v>
      </c>
    </row>
    <row r="20" spans="1:10" x14ac:dyDescent="0.25">
      <c r="A20" s="21">
        <v>46121</v>
      </c>
      <c r="B20" s="42" t="s">
        <v>346</v>
      </c>
      <c r="C20" s="26" t="str">
        <f>+VLOOKUP(tblMasuk[[#This Row],[Kode Barang]],tblKatalog[],2)</f>
        <v>Glossy Photo Paper Double Side A4</v>
      </c>
      <c r="D20" s="26" t="str">
        <f>+VLOOKUP(tblMasuk[[#This Row],[Kode Barang]],tblKatalog[],3)</f>
        <v>Data Print @1 Pack = 20 Sheet</v>
      </c>
      <c r="E20" s="14">
        <v>1</v>
      </c>
      <c r="H20" s="34" t="s">
        <v>33</v>
      </c>
      <c r="I20" s="34" t="str">
        <f>+VLOOKUP(H20,tblKatalog[],2)</f>
        <v>Laminating Film</v>
      </c>
      <c r="J20" s="35">
        <f>+SUMIF($B$7:$B$999787,"GAA014",E$7:$E$999787)</f>
        <v>0</v>
      </c>
    </row>
    <row r="21" spans="1:10" x14ac:dyDescent="0.25">
      <c r="A21" s="21">
        <v>46121</v>
      </c>
      <c r="B21" s="42" t="s">
        <v>256</v>
      </c>
      <c r="C21" s="26" t="str">
        <f>+VLOOKUP(tblMasuk[[#This Row],[Kode Barang]],tblKatalog[],2)</f>
        <v>Glossy Sticker Paper</v>
      </c>
      <c r="D21" s="26" t="str">
        <f>+VLOOKUP(tblMasuk[[#This Row],[Kode Barang]],tblKatalog[],3)</f>
        <v>Data Print @1 Pack = 20 Sheet</v>
      </c>
      <c r="E21" s="14">
        <v>3</v>
      </c>
      <c r="H21" s="34" t="s">
        <v>34</v>
      </c>
      <c r="I21" s="34" t="str">
        <f>+VLOOKUP(H21,tblKatalog[],2)</f>
        <v xml:space="preserve">Amplop Putih Polos </v>
      </c>
      <c r="J21" s="35">
        <f>+SUMIF($B$7:$B$999787,"GAA015",E$7:$E$999787)</f>
        <v>5</v>
      </c>
    </row>
    <row r="22" spans="1:10" x14ac:dyDescent="0.25">
      <c r="A22" s="21">
        <v>46121</v>
      </c>
      <c r="B22" s="42" t="s">
        <v>23</v>
      </c>
      <c r="C22" s="26" t="str">
        <f>+VLOOKUP(tblMasuk[[#This Row],[Kode Barang]],tblKatalog[],2)</f>
        <v>Glossy Photo Paper</v>
      </c>
      <c r="D22" s="26" t="str">
        <f>+VLOOKUP(tblMasuk[[#This Row],[Kode Barang]],tblKatalog[],3)</f>
        <v>Data Print @1 Pack = 50 Sheet</v>
      </c>
      <c r="E22" s="14">
        <v>3</v>
      </c>
      <c r="H22" s="34" t="s">
        <v>35</v>
      </c>
      <c r="I22" s="34" t="str">
        <f>+VLOOKUP(H22,tblKatalog[],2)</f>
        <v>Amplop Putih ARKA</v>
      </c>
      <c r="J22" s="35">
        <f>+SUMIF($B$7:$B$999787,"GAA016",E$7:$E$999787)</f>
        <v>1</v>
      </c>
    </row>
    <row r="23" spans="1:10" x14ac:dyDescent="0.25">
      <c r="A23" s="21">
        <v>46121</v>
      </c>
      <c r="B23" s="42" t="s">
        <v>147</v>
      </c>
      <c r="C23" s="26" t="str">
        <f>+VLOOKUP(tblMasuk[[#This Row],[Kode Barang]],tblKatalog[],2)</f>
        <v>Kertas A4 @70gr</v>
      </c>
      <c r="D23" s="26" t="str">
        <f>+VLOOKUP(tblMasuk[[#This Row],[Kode Barang]],tblKatalog[],3)</f>
        <v>Kiky @1 Rim</v>
      </c>
      <c r="E23" s="14">
        <v>100</v>
      </c>
      <c r="H23" s="34" t="s">
        <v>36</v>
      </c>
      <c r="I23" s="34" t="str">
        <f>+VLOOKUP(H23,tblKatalog[],2)</f>
        <v>Pocket Note</v>
      </c>
      <c r="J23" s="35">
        <f>+SUMIF($B$7:$B$999787,"GAA017",E$7:$E$999787)</f>
        <v>1</v>
      </c>
    </row>
    <row r="24" spans="1:10" x14ac:dyDescent="0.25">
      <c r="A24" s="21">
        <v>46121</v>
      </c>
      <c r="B24" s="42" t="s">
        <v>25</v>
      </c>
      <c r="C24" s="26" t="str">
        <f>+VLOOKUP(tblMasuk[[#This Row],[Kode Barang]],tblKatalog[],2)</f>
        <v>Map F4</v>
      </c>
      <c r="D24" s="26" t="str">
        <f>+VLOOKUP(tblMasuk[[#This Row],[Kode Barang]],tblKatalog[],3)</f>
        <v>Biola @1 Pack = 50 pcs</v>
      </c>
      <c r="E24" s="14">
        <v>1</v>
      </c>
      <c r="H24" s="34" t="s">
        <v>37</v>
      </c>
      <c r="I24" s="34" t="str">
        <f>+VLOOKUP(H24,tblKatalog[],2)</f>
        <v>Isi Staples No. 10-1M</v>
      </c>
      <c r="J24" s="35">
        <f>+SUMIF($B$7:$B$999787,"GAA018",E$7:$E$999787)</f>
        <v>20</v>
      </c>
    </row>
    <row r="25" spans="1:10" x14ac:dyDescent="0.25">
      <c r="A25" s="21">
        <v>46121</v>
      </c>
      <c r="B25" s="42" t="s">
        <v>127</v>
      </c>
      <c r="C25" s="26" t="str">
        <f>+VLOOKUP(tblMasuk[[#This Row],[Kode Barang]],tblKatalog[],2)</f>
        <v>Amplop Coklat ARKA</v>
      </c>
      <c r="D25" s="26" t="str">
        <f>+VLOOKUP(tblMasuk[[#This Row],[Kode Barang]],tblKatalog[],3)</f>
        <v>@A4</v>
      </c>
      <c r="E25" s="14">
        <v>1</v>
      </c>
      <c r="H25" s="34" t="s">
        <v>38</v>
      </c>
      <c r="I25" s="34" t="str">
        <f>+VLOOKUP(H25,tblKatalog[],2)</f>
        <v>Stabilo Hijau</v>
      </c>
      <c r="J25" s="35">
        <f>+SUMIF($B$7:$B$999787,"GAA019",E$7:$E$999787)</f>
        <v>2</v>
      </c>
    </row>
    <row r="26" spans="1:10" x14ac:dyDescent="0.25">
      <c r="A26" s="21">
        <v>46121</v>
      </c>
      <c r="B26" s="42" t="s">
        <v>35</v>
      </c>
      <c r="C26" s="26" t="str">
        <f>+VLOOKUP(tblMasuk[[#This Row],[Kode Barang]],tblKatalog[],2)</f>
        <v>Amplop Putih ARKA</v>
      </c>
      <c r="D26" s="26" t="str">
        <f>+VLOOKUP(tblMasuk[[#This Row],[Kode Barang]],tblKatalog[],3)</f>
        <v>@90</v>
      </c>
      <c r="E26" s="14">
        <v>1</v>
      </c>
      <c r="H26" s="34" t="s">
        <v>39</v>
      </c>
      <c r="I26" s="34" t="str">
        <f>+VLOOKUP(H26,tblKatalog[],2)</f>
        <v xml:space="preserve">Stabilo Orange </v>
      </c>
      <c r="J26" s="35">
        <f>+SUMIF($B$7:$B$999787,"GAA020",E$7:$E$999787)</f>
        <v>4</v>
      </c>
    </row>
    <row r="27" spans="1:10" x14ac:dyDescent="0.25">
      <c r="A27" s="21">
        <v>46121</v>
      </c>
      <c r="B27" s="42" t="s">
        <v>34</v>
      </c>
      <c r="C27" s="26" t="str">
        <f>+VLOOKUP(tblMasuk[[#This Row],[Kode Barang]],tblKatalog[],2)</f>
        <v xml:space="preserve">Amplop Putih Polos </v>
      </c>
      <c r="D27" s="26" t="str">
        <f>+VLOOKUP(tblMasuk[[#This Row],[Kode Barang]],tblKatalog[],3)</f>
        <v>Paperline @90</v>
      </c>
      <c r="E27" s="14">
        <v>4</v>
      </c>
      <c r="H27" s="34" t="s">
        <v>40</v>
      </c>
      <c r="I27" s="34" t="str">
        <f>+VLOOKUP(H27,tblKatalog[],2)</f>
        <v>Gunting Besar</v>
      </c>
      <c r="J27" s="35">
        <f>+SUMIF($B$7:$B$999787,"GAA021",E$7:$E$999787)</f>
        <v>0</v>
      </c>
    </row>
    <row r="28" spans="1:10" x14ac:dyDescent="0.25">
      <c r="A28" s="21">
        <v>46121</v>
      </c>
      <c r="B28" s="42" t="s">
        <v>24</v>
      </c>
      <c r="C28" s="26" t="str">
        <f>+VLOOKUP(tblMasuk[[#This Row],[Kode Barang]],tblKatalog[],2)</f>
        <v>Amplop Coklat F4</v>
      </c>
      <c r="D28" s="26" t="str">
        <f>+VLOOKUP(tblMasuk[[#This Row],[Kode Barang]],tblKatalog[],3)</f>
        <v>Garda @1 Pack = 100 pcs</v>
      </c>
      <c r="E28" s="14">
        <v>1</v>
      </c>
      <c r="H28" s="34" t="s">
        <v>41</v>
      </c>
      <c r="I28" s="34" t="str">
        <f>+VLOOKUP(H28,tblKatalog[],2)</f>
        <v>Pensil</v>
      </c>
      <c r="J28" s="35">
        <f>+SUMIF($B$7:$B$999787,"GAA022",E$7:$E$999787)</f>
        <v>12</v>
      </c>
    </row>
    <row r="29" spans="1:10" x14ac:dyDescent="0.25">
      <c r="A29" s="21">
        <v>46121</v>
      </c>
      <c r="B29" s="42" t="s">
        <v>36</v>
      </c>
      <c r="C29" s="26" t="str">
        <f>+VLOOKUP(tblMasuk[[#This Row],[Kode Barang]],tblKatalog[],2)</f>
        <v>Pocket Note</v>
      </c>
      <c r="D29" s="26" t="str">
        <f>+VLOOKUP(tblMasuk[[#This Row],[Kode Barang]],tblKatalog[],3)</f>
        <v>Erica @156</v>
      </c>
      <c r="E29" s="14">
        <v>1</v>
      </c>
      <c r="H29" s="34" t="s">
        <v>70</v>
      </c>
      <c r="I29" s="34" t="str">
        <f>+VLOOKUP(H29,tblKatalog[],2)</f>
        <v>Notebook</v>
      </c>
      <c r="J29" s="35">
        <f>+SUMIF($B$7:$B$999787,"GAA023",E$7:$E$999787)</f>
        <v>5</v>
      </c>
    </row>
    <row r="30" spans="1:10" x14ac:dyDescent="0.25">
      <c r="A30" s="21">
        <v>46121</v>
      </c>
      <c r="B30" s="42" t="s">
        <v>70</v>
      </c>
      <c r="C30" s="26" t="str">
        <f>+VLOOKUP(tblMasuk[[#This Row],[Kode Barang]],tblKatalog[],2)</f>
        <v>Notebook</v>
      </c>
      <c r="D30" s="26" t="str">
        <f>+VLOOKUP(tblMasuk[[#This Row],[Kode Barang]],tblKatalog[],3)</f>
        <v>Paperline @A5</v>
      </c>
      <c r="E30" s="14">
        <v>5</v>
      </c>
      <c r="H30" s="34" t="s">
        <v>71</v>
      </c>
      <c r="I30" s="34" t="str">
        <f>+VLOOKUP(H30,tblKatalog[],2)</f>
        <v>Spidol Permanent Hitam Besar</v>
      </c>
      <c r="J30" s="35">
        <f>+SUMIF($B$7:$B$999787,"GAA024",E$7:$E$999787)</f>
        <v>0</v>
      </c>
    </row>
    <row r="31" spans="1:10" x14ac:dyDescent="0.25">
      <c r="A31" s="21">
        <v>46121</v>
      </c>
      <c r="B31" s="42" t="s">
        <v>348</v>
      </c>
      <c r="C31" s="26" t="str">
        <f>+VLOOKUP(tblMasuk[[#This Row],[Kode Barang]],tblKatalog[],2)</f>
        <v>Pulpen Gel Hitam 0,5mm</v>
      </c>
      <c r="D31" s="26" t="str">
        <f>+VLOOKUP(tblMasuk[[#This Row],[Kode Barang]],tblKatalog[],3)</f>
        <v>Kenko @1box=12ea</v>
      </c>
      <c r="E31" s="14">
        <v>12</v>
      </c>
      <c r="H31" s="34" t="s">
        <v>72</v>
      </c>
      <c r="I31" s="34" t="str">
        <f>+VLOOKUP(H31,tblKatalog[],2)</f>
        <v>Kabel Twist</v>
      </c>
      <c r="J31" s="35">
        <f>+SUMIF($B$7:$B$999787,"GAA025",E$7:$E$999787)</f>
        <v>0</v>
      </c>
    </row>
    <row r="32" spans="1:10" x14ac:dyDescent="0.25">
      <c r="A32" s="21">
        <v>46121</v>
      </c>
      <c r="B32" s="42" t="s">
        <v>278</v>
      </c>
      <c r="C32" s="26" t="str">
        <f>+VLOOKUP(tblMasuk[[#This Row],[Kode Barang]],tblKatalog[],2)</f>
        <v>Pulpen 4 Warna</v>
      </c>
      <c r="D32" s="26" t="str">
        <f>+VLOOKUP(tblMasuk[[#This Row],[Kode Barang]],tblKatalog[],3)</f>
        <v>Snowman</v>
      </c>
      <c r="E32" s="14">
        <v>36</v>
      </c>
      <c r="H32" s="34" t="s">
        <v>73</v>
      </c>
      <c r="I32" s="34" t="str">
        <f>+VLOOKUP(H32,tblKatalog[],2)</f>
        <v>Pembolong Kertas Besar</v>
      </c>
      <c r="J32" s="35">
        <f>+SUMIF($B$7:$B$999787,"GAA026",E$7:$E$999787)</f>
        <v>0</v>
      </c>
    </row>
    <row r="33" spans="1:10" x14ac:dyDescent="0.25">
      <c r="A33" s="21">
        <v>46121</v>
      </c>
      <c r="B33" s="42" t="s">
        <v>108</v>
      </c>
      <c r="C33" s="26" t="str">
        <f>+VLOOKUP(tblMasuk[[#This Row],[Kode Barang]],tblKatalog[],2)</f>
        <v xml:space="preserve">Pulpen </v>
      </c>
      <c r="D33" s="26" t="str">
        <f>+VLOOKUP(tblMasuk[[#This Row],[Kode Barang]],tblKatalog[],3)</f>
        <v>Snowman @V-7</v>
      </c>
      <c r="E33" s="14">
        <v>12</v>
      </c>
      <c r="H33" s="34" t="s">
        <v>74</v>
      </c>
      <c r="I33" s="34" t="str">
        <f>+VLOOKUP(H33,tblKatalog[],2)</f>
        <v>Isi Staples No. 3-1M</v>
      </c>
      <c r="J33" s="35">
        <f>+SUMIF($B$7:$B$999787,"GAA027",E$7:$E$999787)</f>
        <v>0</v>
      </c>
    </row>
    <row r="34" spans="1:10" x14ac:dyDescent="0.25">
      <c r="A34" s="21">
        <v>46121</v>
      </c>
      <c r="B34" s="42" t="s">
        <v>323</v>
      </c>
      <c r="C34" s="26" t="str">
        <f>+VLOOKUP(tblMasuk[[#This Row],[Kode Barang]],tblKatalog[],2)</f>
        <v>Tip-X Kertas</v>
      </c>
      <c r="D34" s="26" t="str">
        <f>+VLOOKUP(tblMasuk[[#This Row],[Kode Barang]],tblKatalog[],3)</f>
        <v xml:space="preserve">Joyko </v>
      </c>
      <c r="E34" s="14">
        <v>2</v>
      </c>
      <c r="H34" s="34" t="s">
        <v>75</v>
      </c>
      <c r="I34" s="34" t="str">
        <f>+VLOOKUP(H34,tblKatalog[],2)</f>
        <v xml:space="preserve">Lakban Bening Kecil </v>
      </c>
      <c r="J34" s="35">
        <f>+SUMIF($B$7:$B$999787,"GAA028",E$7:$E$999787)</f>
        <v>0</v>
      </c>
    </row>
    <row r="35" spans="1:10" x14ac:dyDescent="0.25">
      <c r="A35" s="21">
        <v>46121</v>
      </c>
      <c r="B35" s="42" t="s">
        <v>177</v>
      </c>
      <c r="C35" s="26" t="str">
        <f>+VLOOKUP(tblMasuk[[#This Row],[Kode Barang]],tblKatalog[],2)</f>
        <v>Tip-X</v>
      </c>
      <c r="D35" s="26" t="str">
        <f>+VLOOKUP(tblMasuk[[#This Row],[Kode Barang]],tblKatalog[],3)</f>
        <v>Joyko</v>
      </c>
      <c r="E35" s="14">
        <v>5</v>
      </c>
      <c r="H35" s="34" t="s">
        <v>76</v>
      </c>
      <c r="I35" s="34" t="str">
        <f>+VLOOKUP(H35,tblKatalog[],2)</f>
        <v>Spidol Permanent Putih</v>
      </c>
      <c r="J35" s="35">
        <f>+SUMIF($B$7:$B$999787,"GAA029",E$7:$E$999787)</f>
        <v>0</v>
      </c>
    </row>
    <row r="36" spans="1:10" x14ac:dyDescent="0.25">
      <c r="A36" s="21">
        <v>46121</v>
      </c>
      <c r="B36" s="42" t="s">
        <v>39</v>
      </c>
      <c r="C36" s="26" t="str">
        <f>+VLOOKUP(tblMasuk[[#This Row],[Kode Barang]],tblKatalog[],2)</f>
        <v xml:space="preserve">Stabilo Orange </v>
      </c>
      <c r="D36" s="26" t="str">
        <f>+VLOOKUP(tblMasuk[[#This Row],[Kode Barang]],tblKatalog[],3)</f>
        <v>Joyko @HL-2</v>
      </c>
      <c r="E36" s="14">
        <v>4</v>
      </c>
      <c r="H36" s="34" t="s">
        <v>77</v>
      </c>
      <c r="I36" s="34" t="str">
        <f>+VLOOKUP(H36,tblKatalog[],2)</f>
        <v>Spidol Whiteboard Marker Red</v>
      </c>
      <c r="J36" s="35">
        <f>+SUMIF($B$7:$B$999787,"GAA030",E$7:$E$999787)</f>
        <v>0</v>
      </c>
    </row>
    <row r="37" spans="1:10" x14ac:dyDescent="0.25">
      <c r="A37" s="21">
        <v>46121</v>
      </c>
      <c r="B37" s="42" t="s">
        <v>300</v>
      </c>
      <c r="C37" s="26" t="str">
        <f>+VLOOKUP(tblMasuk[[#This Row],[Kode Barang]],tblKatalog[],2)</f>
        <v>Lem Stick Kecil</v>
      </c>
      <c r="D37" s="26" t="str">
        <f>+VLOOKUP(tblMasuk[[#This Row],[Kode Barang]],tblKatalog[],3)</f>
        <v>UHU Kecil</v>
      </c>
      <c r="E37" s="14">
        <v>1</v>
      </c>
      <c r="H37" s="34" t="s">
        <v>78</v>
      </c>
      <c r="I37" s="34" t="str">
        <f>+VLOOKUP(H37,tblKatalog[],2)</f>
        <v>Spidol Whiteboard Marker Green</v>
      </c>
      <c r="J37" s="35">
        <f>+SUMIF($B$7:$B$999787,"GAA031",E$7:$E$999787)</f>
        <v>0</v>
      </c>
    </row>
    <row r="38" spans="1:10" x14ac:dyDescent="0.25">
      <c r="A38" s="21">
        <v>46121</v>
      </c>
      <c r="B38" s="42" t="s">
        <v>152</v>
      </c>
      <c r="C38" s="26" t="str">
        <f>+VLOOKUP(tblMasuk[[#This Row],[Kode Barang]],tblKatalog[],2)</f>
        <v>Binder Clips@No.260</v>
      </c>
      <c r="D38" s="26" t="str">
        <f>+VLOOKUP(tblMasuk[[#This Row],[Kode Barang]],tblKatalog[],3)</f>
        <v>Kenko @1box</v>
      </c>
      <c r="E38" s="14">
        <v>3</v>
      </c>
      <c r="H38" s="34" t="s">
        <v>79</v>
      </c>
      <c r="I38" s="34" t="str">
        <f>+VLOOKUP(H38,tblKatalog[],2)</f>
        <v>Spidol Whiteboard Marker Black</v>
      </c>
      <c r="J38" s="35">
        <f>+SUMIF($B$7:$B$999787,"GAA032",E$7:$E$999787)</f>
        <v>0</v>
      </c>
    </row>
    <row r="39" spans="1:10" x14ac:dyDescent="0.25">
      <c r="A39" s="21">
        <v>46121</v>
      </c>
      <c r="B39" s="42" t="s">
        <v>21</v>
      </c>
      <c r="C39" s="26" t="str">
        <f>+VLOOKUP(tblMasuk[[#This Row],[Kode Barang]],tblKatalog[],2)</f>
        <v>Binder Clips@No.200</v>
      </c>
      <c r="D39" s="26" t="str">
        <f>+VLOOKUP(tblMasuk[[#This Row],[Kode Barang]],tblKatalog[],3)</f>
        <v>Pop 1 @1box = 12 pcs</v>
      </c>
      <c r="E39" s="14">
        <v>6</v>
      </c>
      <c r="H39" s="34" t="s">
        <v>105</v>
      </c>
      <c r="I39" s="34" t="str">
        <f>+VLOOKUP(H39,tblKatalog[],2)</f>
        <v xml:space="preserve">Spidol Permanent Hitam </v>
      </c>
      <c r="J39" s="35">
        <f>+SUMIF($B$7:$B$999787,"GAA033",E$7:$E$999787)</f>
        <v>0</v>
      </c>
    </row>
    <row r="40" spans="1:10" x14ac:dyDescent="0.25">
      <c r="A40" s="21">
        <v>46121</v>
      </c>
      <c r="B40" s="42" t="s">
        <v>111</v>
      </c>
      <c r="C40" s="26" t="str">
        <f>+VLOOKUP(tblMasuk[[#This Row],[Kode Barang]],tblKatalog[],2)</f>
        <v>Baterai AAA ABC</v>
      </c>
      <c r="D40" s="26" t="str">
        <f>+VLOOKUP(tblMasuk[[#This Row],[Kode Barang]],tblKatalog[],3)</f>
        <v>ABC Alkaline</v>
      </c>
      <c r="E40" s="14">
        <v>82</v>
      </c>
      <c r="H40" s="34" t="s">
        <v>106</v>
      </c>
      <c r="I40" s="34" t="str">
        <f>+VLOOKUP(H40,tblKatalog[],2)</f>
        <v>Trigonal Clip No. 03</v>
      </c>
      <c r="J40" s="35">
        <f>+SUMIF($B$7:$B$999787,"GAA034",E$7:$E$999787)</f>
        <v>12</v>
      </c>
    </row>
    <row r="41" spans="1:10" x14ac:dyDescent="0.25">
      <c r="A41" s="21">
        <v>46121</v>
      </c>
      <c r="B41" s="42" t="s">
        <v>221</v>
      </c>
      <c r="C41" s="26" t="str">
        <f>+VLOOKUP(tblMasuk[[#This Row],[Kode Barang]],tblKatalog[],2)</f>
        <v>Baterai AA ABC</v>
      </c>
      <c r="D41" s="26" t="str">
        <f>+VLOOKUP(tblMasuk[[#This Row],[Kode Barang]],tblKatalog[],3)</f>
        <v>ABC Alkaline</v>
      </c>
      <c r="E41" s="14">
        <v>78</v>
      </c>
      <c r="H41" s="34" t="s">
        <v>107</v>
      </c>
      <c r="I41" s="34" t="str">
        <f>+VLOOKUP(H41,tblKatalog[],2)</f>
        <v>Kalkulator</v>
      </c>
      <c r="J41" s="35">
        <f>+SUMIF($B$7:$B$999787,"GAA035",E$7:$E$999787)</f>
        <v>0</v>
      </c>
    </row>
    <row r="42" spans="1:10" x14ac:dyDescent="0.25">
      <c r="A42" s="21">
        <v>46121</v>
      </c>
      <c r="B42" s="42" t="s">
        <v>265</v>
      </c>
      <c r="C42" s="26" t="str">
        <f>+VLOOKUP(tblMasuk[[#This Row],[Kode Barang]],tblKatalog[],2)</f>
        <v>Battery 9 Volt</v>
      </c>
      <c r="D42" s="26" t="str">
        <f>+VLOOKUP(tblMasuk[[#This Row],[Kode Barang]],tblKatalog[],3)</f>
        <v>ABC Alkaline (1 Kotak = 12 ea)</v>
      </c>
      <c r="E42" s="14">
        <v>12</v>
      </c>
      <c r="H42" s="34" t="s">
        <v>108</v>
      </c>
      <c r="I42" s="34" t="str">
        <f>+VLOOKUP(H42,tblKatalog[],2)</f>
        <v xml:space="preserve">Pulpen </v>
      </c>
      <c r="J42" s="35">
        <f>+SUMIF($B$7:$B$999787,"GAA036",E$7:$E$999787)</f>
        <v>12</v>
      </c>
    </row>
    <row r="43" spans="1:10" x14ac:dyDescent="0.25">
      <c r="A43" s="21">
        <v>46260</v>
      </c>
      <c r="B43" s="42" t="s">
        <v>38</v>
      </c>
      <c r="C43" s="26" t="str">
        <f>+VLOOKUP(tblMasuk[[#This Row],[Kode Barang]],tblKatalog[],2)</f>
        <v>Stabilo Hijau</v>
      </c>
      <c r="D43" s="26" t="str">
        <f>+VLOOKUP(tblMasuk[[#This Row],[Kode Barang]],tblKatalog[],3)</f>
        <v>Joyko @HL-2</v>
      </c>
      <c r="E43" s="14">
        <v>2</v>
      </c>
      <c r="H43" s="34" t="s">
        <v>109</v>
      </c>
      <c r="I43" s="34" t="str">
        <f>+VLOOKUP(H43,tblKatalog[],2)</f>
        <v>Nota 2Ply</v>
      </c>
      <c r="J43" s="35">
        <f>+SUMIF($B$7:$B$999787,"GAA037",E$7:$E$999787)</f>
        <v>0</v>
      </c>
    </row>
    <row r="44" spans="1:10" x14ac:dyDescent="0.25">
      <c r="A44" s="21">
        <v>46260</v>
      </c>
      <c r="B44" s="42" t="s">
        <v>348</v>
      </c>
      <c r="C44" s="26" t="str">
        <f>+VLOOKUP(tblMasuk[[#This Row],[Kode Barang]],tblKatalog[],2)</f>
        <v>Pulpen Gel Hitam 0,5mm</v>
      </c>
      <c r="D44" s="26" t="str">
        <f>+VLOOKUP(tblMasuk[[#This Row],[Kode Barang]],tblKatalog[],3)</f>
        <v>Kenko @1box=12ea</v>
      </c>
      <c r="E44" s="14">
        <v>36</v>
      </c>
      <c r="H44" s="34" t="s">
        <v>110</v>
      </c>
      <c r="I44" s="34" t="str">
        <f>+VLOOKUP(H44,tblKatalog[],2)</f>
        <v>Kwitansi Kecil</v>
      </c>
      <c r="J44" s="35">
        <f>+SUMIF($B$7:$B$999787,"GAA038,",E$7:$E$999787)</f>
        <v>0</v>
      </c>
    </row>
    <row r="45" spans="1:10" x14ac:dyDescent="0.25">
      <c r="A45" s="21">
        <v>46260</v>
      </c>
      <c r="B45" s="42" t="s">
        <v>278</v>
      </c>
      <c r="C45" s="26" t="str">
        <f>+VLOOKUP(tblMasuk[[#This Row],[Kode Barang]],tblKatalog[],2)</f>
        <v>Pulpen 4 Warna</v>
      </c>
      <c r="D45" s="26" t="str">
        <f>+VLOOKUP(tblMasuk[[#This Row],[Kode Barang]],tblKatalog[],3)</f>
        <v>Snowman</v>
      </c>
      <c r="E45" s="14">
        <v>36</v>
      </c>
      <c r="H45" s="34" t="s">
        <v>111</v>
      </c>
      <c r="I45" s="34" t="str">
        <f>+VLOOKUP(H45,tblKatalog[],2)</f>
        <v>Baterai AAA ABC</v>
      </c>
      <c r="J45" s="35">
        <f>+SUMIF($B$7:$B$999787,"GAA039",E$7:$E$999787)</f>
        <v>82</v>
      </c>
    </row>
    <row r="46" spans="1:10" x14ac:dyDescent="0.25">
      <c r="A46" s="21">
        <v>46260</v>
      </c>
      <c r="B46" s="42" t="s">
        <v>41</v>
      </c>
      <c r="C46" s="26" t="str">
        <f>+VLOOKUP(tblMasuk[[#This Row],[Kode Barang]],tblKatalog[],2)</f>
        <v>Pensil</v>
      </c>
      <c r="D46" s="26" t="str">
        <f>+VLOOKUP(tblMasuk[[#This Row],[Kode Barang]],tblKatalog[],3)</f>
        <v>@2B</v>
      </c>
      <c r="E46" s="14">
        <v>12</v>
      </c>
      <c r="H46" s="34" t="s">
        <v>112</v>
      </c>
      <c r="I46" s="34" t="str">
        <f>+VLOOKUP(H46,tblKatalog[],2)</f>
        <v>Baterai AAA Panasonic</v>
      </c>
      <c r="J46" s="35">
        <f>+SUMIF($B$7:$B$999787,"GAA040",E$7:$E$999787)</f>
        <v>0</v>
      </c>
    </row>
    <row r="47" spans="1:10" x14ac:dyDescent="0.25">
      <c r="A47" s="21">
        <v>46260</v>
      </c>
      <c r="B47" s="42" t="s">
        <v>176</v>
      </c>
      <c r="C47" s="26" t="str">
        <f>+VLOOKUP(tblMasuk[[#This Row],[Kode Barang]],tblKatalog[],2)</f>
        <v xml:space="preserve">Spidol Permanent Biru </v>
      </c>
      <c r="D47" s="26" t="str">
        <f>+VLOOKUP(tblMasuk[[#This Row],[Kode Barang]],tblKatalog[],3)</f>
        <v>Snowman G-12</v>
      </c>
      <c r="E47" s="14">
        <v>2</v>
      </c>
      <c r="H47" s="34" t="s">
        <v>125</v>
      </c>
      <c r="I47" s="34" t="str">
        <f>+VLOOKUP(H47,tblKatalog[],2)</f>
        <v xml:space="preserve">Baterai AA Panasonic </v>
      </c>
      <c r="J47" s="35">
        <f>+SUMIF($B$7:$B$999787,"GAA041",E$7:$E$999787)</f>
        <v>0</v>
      </c>
    </row>
    <row r="48" spans="1:10" x14ac:dyDescent="0.25">
      <c r="A48" s="21">
        <v>46260</v>
      </c>
      <c r="B48" s="42" t="s">
        <v>321</v>
      </c>
      <c r="C48" s="26" t="str">
        <f>+VLOOKUP(tblMasuk[[#This Row],[Kode Barang]],tblKatalog[],2)</f>
        <v>Post It Sedang</v>
      </c>
      <c r="D48" s="26" t="str">
        <f>+VLOOKUP(tblMasuk[[#This Row],[Kode Barang]],tblKatalog[],3)</f>
        <v>BIG 76x51 mm</v>
      </c>
      <c r="E48" s="14">
        <v>2</v>
      </c>
      <c r="H48" s="34" t="s">
        <v>126</v>
      </c>
      <c r="I48" s="34" t="str">
        <f>+VLOOKUP(H48,tblKatalog[],2)</f>
        <v>Kertas Cover Buffalo Cream</v>
      </c>
      <c r="J48" s="35">
        <f>+SUMIF($B$7:$B$999787,"GAA042",E$7:$E$999787)</f>
        <v>0</v>
      </c>
    </row>
    <row r="49" spans="1:10" x14ac:dyDescent="0.25">
      <c r="A49" s="21">
        <v>46260</v>
      </c>
      <c r="B49" s="42" t="s">
        <v>356</v>
      </c>
      <c r="C49" s="26" t="str">
        <f>+VLOOKUP(tblMasuk[[#This Row],[Kode Barang]],tblKatalog[],2)</f>
        <v>Post It 3 Color</v>
      </c>
      <c r="D49" s="26" t="str">
        <f>+VLOOKUP(tblMasuk[[#This Row],[Kode Barang]],tblKatalog[],3)</f>
        <v>20x50 mm</v>
      </c>
      <c r="E49" s="14">
        <v>5</v>
      </c>
      <c r="H49" s="34" t="s">
        <v>127</v>
      </c>
      <c r="I49" s="34" t="str">
        <f>+VLOOKUP(H49,tblKatalog[],2)</f>
        <v>Amplop Coklat ARKA</v>
      </c>
      <c r="J49" s="35">
        <f>+SUMIF($B$7:$B$999787,"GAA043",E$7:$E$999787)</f>
        <v>1</v>
      </c>
    </row>
    <row r="50" spans="1:10" x14ac:dyDescent="0.25">
      <c r="A50" s="21">
        <v>46260</v>
      </c>
      <c r="B50" s="42" t="s">
        <v>180</v>
      </c>
      <c r="C50" s="26" t="str">
        <f>+VLOOKUP(tblMasuk[[#This Row],[Kode Barang]],tblKatalog[],2)</f>
        <v xml:space="preserve">Post It Kecil </v>
      </c>
      <c r="D50" s="26" t="str">
        <f>+VLOOKUP(tblMasuk[[#This Row],[Kode Barang]],tblKatalog[],3)</f>
        <v>BIG 51x38 mm</v>
      </c>
      <c r="E50" s="14">
        <v>5</v>
      </c>
      <c r="H50" s="34" t="s">
        <v>128</v>
      </c>
      <c r="I50" s="34" t="str">
        <f>+VLOOKUP(H50,tblKatalog[],2)</f>
        <v>Spidol Glass Marker Black</v>
      </c>
      <c r="J50" s="35">
        <f>+SUMIF($B$7:$B$999787,"GAA044",E$7:$E$999787)</f>
        <v>0</v>
      </c>
    </row>
    <row r="51" spans="1:10" x14ac:dyDescent="0.25">
      <c r="A51" s="21">
        <v>46260</v>
      </c>
      <c r="B51" s="42" t="s">
        <v>181</v>
      </c>
      <c r="C51" s="26" t="str">
        <f>+VLOOKUP(tblMasuk[[#This Row],[Kode Barang]],tblKatalog[],2)</f>
        <v xml:space="preserve">Post It Besar </v>
      </c>
      <c r="D51" s="26" t="str">
        <f>+VLOOKUP(tblMasuk[[#This Row],[Kode Barang]],tblKatalog[],3)</f>
        <v>BIG 76x76 mm</v>
      </c>
      <c r="E51" s="14">
        <v>3</v>
      </c>
      <c r="H51" s="34" t="s">
        <v>129</v>
      </c>
      <c r="I51" s="34" t="str">
        <f>+VLOOKUP(H51,tblKatalog[],2)</f>
        <v>Kertas Cover Buffalo Putih A4</v>
      </c>
      <c r="J51" s="35">
        <f>+SUMIF($B$7:$B$999787,"GAA045",E$7:$E$999787)</f>
        <v>3</v>
      </c>
    </row>
    <row r="52" spans="1:10" x14ac:dyDescent="0.25">
      <c r="A52" s="21">
        <v>46260</v>
      </c>
      <c r="B52" s="42" t="s">
        <v>28</v>
      </c>
      <c r="C52" s="26" t="str">
        <f>+VLOOKUP(tblMasuk[[#This Row],[Kode Barang]],tblKatalog[],2)</f>
        <v>Lakban Coklat Besar</v>
      </c>
      <c r="D52" s="26" t="str">
        <f>+VLOOKUP(tblMasuk[[#This Row],[Kode Barang]],tblKatalog[],3)</f>
        <v>Daimaru @48mm</v>
      </c>
      <c r="E52" s="14">
        <v>3</v>
      </c>
      <c r="H52" s="34" t="s">
        <v>137</v>
      </c>
      <c r="I52" s="34" t="str">
        <f>+VLOOKUP(H52,tblKatalog[],2)</f>
        <v>Kertas Cover Buffalo Biru A4</v>
      </c>
      <c r="J52" s="35">
        <f>+SUMIF($B$7:$B$999787,"GAA046",E$7:$E$999787)</f>
        <v>0</v>
      </c>
    </row>
    <row r="53" spans="1:10" x14ac:dyDescent="0.25">
      <c r="A53" s="21">
        <v>46260</v>
      </c>
      <c r="B53" s="42" t="s">
        <v>27</v>
      </c>
      <c r="C53" s="26" t="str">
        <f>+VLOOKUP(tblMasuk[[#This Row],[Kode Barang]],tblKatalog[],2)</f>
        <v>Lakban Kertas Besar</v>
      </c>
      <c r="D53" s="26" t="str">
        <f>+VLOOKUP(tblMasuk[[#This Row],[Kode Barang]],tblKatalog[],3)</f>
        <v>Eka Tape @48mm</v>
      </c>
      <c r="E53" s="14">
        <v>3</v>
      </c>
      <c r="H53" s="34" t="s">
        <v>140</v>
      </c>
      <c r="I53" s="34" t="str">
        <f>+VLOOKUP(H53,tblKatalog[],2)</f>
        <v>Kertas Cover Buffalo Hijau A4</v>
      </c>
      <c r="J53" s="35">
        <f>+SUMIF($B$7:$B$999787,"GAA047",E$7:$E$999787)</f>
        <v>0</v>
      </c>
    </row>
    <row r="54" spans="1:10" x14ac:dyDescent="0.25">
      <c r="A54" s="21">
        <v>46260</v>
      </c>
      <c r="B54" s="42" t="s">
        <v>29</v>
      </c>
      <c r="C54" s="26" t="str">
        <f>+VLOOKUP(tblMasuk[[#This Row],[Kode Barang]],tblKatalog[],2)</f>
        <v>Lakban Bening Besar</v>
      </c>
      <c r="D54" s="26" t="str">
        <f>+VLOOKUP(tblMasuk[[#This Row],[Kode Barang]],tblKatalog[],3)</f>
        <v>Daimaru @48mm</v>
      </c>
      <c r="E54" s="14">
        <v>8</v>
      </c>
      <c r="H54" s="34" t="s">
        <v>141</v>
      </c>
      <c r="I54" s="34" t="str">
        <f>+VLOOKUP(H54,tblKatalog[],2)</f>
        <v>Map Holder Bening</v>
      </c>
      <c r="J54" s="35">
        <f>+SUMIF($B$7:$B$999787,"GAA048",E$7:$E$999787)</f>
        <v>0</v>
      </c>
    </row>
    <row r="55" spans="1:10" x14ac:dyDescent="0.25">
      <c r="A55" s="21">
        <v>46260</v>
      </c>
      <c r="B55" s="42" t="s">
        <v>186</v>
      </c>
      <c r="C55" s="26" t="str">
        <f>+VLOOKUP(tblMasuk[[#This Row],[Kode Barang]],tblKatalog[],2)</f>
        <v>Lakban Hitam Besar</v>
      </c>
      <c r="D55" s="26" t="str">
        <f>+VLOOKUP(tblMasuk[[#This Row],[Kode Barang]],tblKatalog[],3)</f>
        <v>Daimaru @48mm</v>
      </c>
      <c r="E55" s="14">
        <v>3</v>
      </c>
      <c r="H55" s="34" t="s">
        <v>142</v>
      </c>
      <c r="I55" s="34" t="str">
        <f>+VLOOKUP(H55,tblKatalog[],2)</f>
        <v xml:space="preserve">Lakban Bening Sedang </v>
      </c>
      <c r="J55" s="35">
        <f>+SUMIF($B$7:$B$999787,"GAA049",E$7:$E$999787)</f>
        <v>0</v>
      </c>
    </row>
    <row r="56" spans="1:10" x14ac:dyDescent="0.25">
      <c r="A56" s="21">
        <v>46260</v>
      </c>
      <c r="B56" s="42" t="s">
        <v>106</v>
      </c>
      <c r="C56" s="26" t="str">
        <f>+VLOOKUP(tblMasuk[[#This Row],[Kode Barang]],tblKatalog[],2)</f>
        <v>Trigonal Clip No. 03</v>
      </c>
      <c r="D56" s="26" t="str">
        <f>+VLOOKUP(tblMasuk[[#This Row],[Kode Barang]],tblKatalog[],3)</f>
        <v>Joyko @1box kecil = 50 pcs</v>
      </c>
      <c r="E56" s="14">
        <v>12</v>
      </c>
      <c r="H56" s="34" t="s">
        <v>143</v>
      </c>
      <c r="I56" s="34" t="str">
        <f>+VLOOKUP(H56,tblKatalog[],2)</f>
        <v xml:space="preserve">Double Tape Kecil </v>
      </c>
      <c r="J56" s="35">
        <f>+SUMIF($B$7:$B$999787,"GAA050",E$7:$E$999787)</f>
        <v>0</v>
      </c>
    </row>
    <row r="57" spans="1:10" x14ac:dyDescent="0.25">
      <c r="A57" s="21">
        <v>46260</v>
      </c>
      <c r="B57" s="42" t="s">
        <v>374</v>
      </c>
      <c r="C57" s="26" t="str">
        <f>+VLOOKUP(tblMasuk[[#This Row],[Kode Barang]],tblKatalog[],2)</f>
        <v>Penghapus Pensil</v>
      </c>
      <c r="D57" s="26" t="str">
        <f>+VLOOKUP(tblMasuk[[#This Row],[Kode Barang]],tblKatalog[],3)</f>
        <v>Penghapus</v>
      </c>
      <c r="E57" s="14">
        <v>3</v>
      </c>
      <c r="H57" s="34" t="s">
        <v>144</v>
      </c>
      <c r="I57" s="34" t="str">
        <f>+VLOOKUP(H57,tblKatalog[],2)</f>
        <v>Double Tape Besar</v>
      </c>
      <c r="J57" s="35">
        <f>+SUMIF($B$7:$B$999787,"GAA051",E$7:$E$999787)</f>
        <v>0</v>
      </c>
    </row>
    <row r="58" spans="1:10" x14ac:dyDescent="0.25">
      <c r="A58" s="21">
        <v>46260</v>
      </c>
      <c r="B58" s="42" t="s">
        <v>332</v>
      </c>
      <c r="C58" s="26" t="str">
        <f>+VLOOKUP(tblMasuk[[#This Row],[Kode Barang]],tblKatalog[],2)</f>
        <v xml:space="preserve">Staples </v>
      </c>
      <c r="D58" s="26" t="str">
        <f>+VLOOKUP(tblMasuk[[#This Row],[Kode Barang]],tblKatalog[],3)</f>
        <v>Joyko HD-10</v>
      </c>
      <c r="E58" s="14">
        <v>1</v>
      </c>
      <c r="H58" s="34" t="s">
        <v>145</v>
      </c>
      <c r="I58" s="34" t="str">
        <f>+VLOOKUP(H58,tblKatalog[],2)</f>
        <v>Lakban Hitam Kecil</v>
      </c>
      <c r="J58" s="35">
        <f>+SUMIF($B$7:$B$999787,"GAA052",E$7:$E$999787)</f>
        <v>0</v>
      </c>
    </row>
    <row r="59" spans="1:10" x14ac:dyDescent="0.25">
      <c r="A59" s="21">
        <v>46260</v>
      </c>
      <c r="B59" s="42" t="s">
        <v>152</v>
      </c>
      <c r="C59" s="26" t="str">
        <f>+VLOOKUP(tblMasuk[[#This Row],[Kode Barang]],tblKatalog[],2)</f>
        <v>Binder Clips@No.260</v>
      </c>
      <c r="D59" s="26" t="str">
        <f>+VLOOKUP(tblMasuk[[#This Row],[Kode Barang]],tblKatalog[],3)</f>
        <v>Kenko @1box</v>
      </c>
      <c r="E59" s="14">
        <v>4</v>
      </c>
      <c r="H59" s="34" t="s">
        <v>147</v>
      </c>
      <c r="I59" s="34" t="str">
        <f>+VLOOKUP(H59,tblKatalog[],2)</f>
        <v>Kertas A4 @70gr</v>
      </c>
      <c r="J59" s="35">
        <f>+SUMIF($B$7:$B$999787,"GAA053",E$7:$E$999787)</f>
        <v>125</v>
      </c>
    </row>
    <row r="60" spans="1:10" x14ac:dyDescent="0.25">
      <c r="A60" s="21">
        <v>46260</v>
      </c>
      <c r="B60" s="42" t="s">
        <v>21</v>
      </c>
      <c r="C60" s="26" t="str">
        <f>+VLOOKUP(tblMasuk[[#This Row],[Kode Barang]],tblKatalog[],2)</f>
        <v>Binder Clips@No.200</v>
      </c>
      <c r="D60" s="26" t="str">
        <f>+VLOOKUP(tblMasuk[[#This Row],[Kode Barang]],tblKatalog[],3)</f>
        <v>Pop 1 @1box = 12 pcs</v>
      </c>
      <c r="E60" s="14">
        <v>5</v>
      </c>
      <c r="H60" s="34" t="s">
        <v>148</v>
      </c>
      <c r="I60" s="34" t="str">
        <f>+VLOOKUP(H60,tblKatalog[],2)</f>
        <v>Kertas F4 @70gr</v>
      </c>
      <c r="J60" s="35">
        <f>+SUMIF($B$7:$B$999787,"GAA054",E$7:$E$999787)</f>
        <v>0</v>
      </c>
    </row>
    <row r="61" spans="1:10" x14ac:dyDescent="0.25">
      <c r="A61" s="21">
        <v>46260</v>
      </c>
      <c r="B61" s="42" t="s">
        <v>344</v>
      </c>
      <c r="C61" s="26" t="str">
        <f>+VLOOKUP(tblMasuk[[#This Row],[Kode Barang]],tblKatalog[],2)</f>
        <v>Binder Clips@No.155</v>
      </c>
      <c r="D61" s="26" t="str">
        <f>+VLOOKUP(tblMasuk[[#This Row],[Kode Barang]],tblKatalog[],3)</f>
        <v>Kenko @1box</v>
      </c>
      <c r="E61" s="14">
        <v>1</v>
      </c>
      <c r="H61" s="34" t="s">
        <v>149</v>
      </c>
      <c r="I61" s="34" t="str">
        <f>+VLOOKUP(H61,tblKatalog[],2)</f>
        <v>Kertas A4 Kuning</v>
      </c>
      <c r="J61" s="35">
        <f>+SUMIF($B$7:$B$999787,"GAA055",E$7:$E$999787)</f>
        <v>0</v>
      </c>
    </row>
    <row r="62" spans="1:10" x14ac:dyDescent="0.25">
      <c r="A62" s="21">
        <v>46260</v>
      </c>
      <c r="B62" s="42" t="s">
        <v>377</v>
      </c>
      <c r="C62" s="26" t="str">
        <f>+VLOOKUP(tblMasuk[[#This Row],[Kode Barang]],tblKatalog[],2)</f>
        <v>Binder Clips@No.111</v>
      </c>
      <c r="D62" s="26" t="str">
        <f>+VLOOKUP(tblMasuk[[#This Row],[Kode Barang]],tblKatalog[],3)</f>
        <v>Kenko @1box</v>
      </c>
      <c r="E62" s="14">
        <v>1</v>
      </c>
      <c r="H62" s="34" t="s">
        <v>150</v>
      </c>
      <c r="I62" s="34" t="str">
        <f>+VLOOKUP(H62,tblKatalog[],2)</f>
        <v xml:space="preserve">Paper Sticker </v>
      </c>
      <c r="J62" s="35">
        <f>+SUMIF($B$7:$B$999787,"GAA056",E$7:$E$999787)</f>
        <v>0</v>
      </c>
    </row>
    <row r="63" spans="1:10" x14ac:dyDescent="0.25">
      <c r="A63" s="21">
        <v>46260</v>
      </c>
      <c r="B63" s="42" t="s">
        <v>37</v>
      </c>
      <c r="C63" s="26" t="str">
        <f>+VLOOKUP(tblMasuk[[#This Row],[Kode Barang]],tblKatalog[],2)</f>
        <v>Isi Staples No. 10-1M</v>
      </c>
      <c r="D63" s="26" t="str">
        <f>+VLOOKUP(tblMasuk[[#This Row],[Kode Barang]],tblKatalog[],3)</f>
        <v>Kangaro @1box kecil = 20 ea</v>
      </c>
      <c r="E63" s="14">
        <v>20</v>
      </c>
      <c r="H63" s="34" t="s">
        <v>151</v>
      </c>
      <c r="I63" s="34" t="str">
        <f>+VLOOKUP(H63,tblKatalog[],2)</f>
        <v>Isi Cutter</v>
      </c>
      <c r="J63" s="35">
        <f>+SUMIF($B$7:$B$999787,"GAA057",E$7:$E$999787)</f>
        <v>0</v>
      </c>
    </row>
    <row r="64" spans="1:10" x14ac:dyDescent="0.25">
      <c r="A64" s="21">
        <v>46260</v>
      </c>
      <c r="B64" s="42" t="s">
        <v>129</v>
      </c>
      <c r="C64" s="26" t="str">
        <f>+VLOOKUP(tblMasuk[[#This Row],[Kode Barang]],tblKatalog[],2)</f>
        <v>Kertas Cover Buffalo Putih A4</v>
      </c>
      <c r="D64" s="26" t="str">
        <f>+VLOOKUP(tblMasuk[[#This Row],[Kode Barang]],tblKatalog[],3)</f>
        <v>@1 Pack = 100 Sheet</v>
      </c>
      <c r="E64" s="14">
        <v>2</v>
      </c>
      <c r="H64" s="34" t="s">
        <v>152</v>
      </c>
      <c r="I64" s="34" t="str">
        <f>+VLOOKUP(H64,tblKatalog[],2)</f>
        <v>Binder Clips@No.260</v>
      </c>
      <c r="J64" s="35">
        <f>+SUMIF($B$7:$B$999787,"GAA058",E$7:$E$999787)</f>
        <v>7</v>
      </c>
    </row>
    <row r="65" spans="1:10" x14ac:dyDescent="0.25">
      <c r="A65" s="21">
        <v>46260</v>
      </c>
      <c r="B65" s="42" t="s">
        <v>147</v>
      </c>
      <c r="C65" s="26" t="str">
        <f>+VLOOKUP(tblMasuk[[#This Row],[Kode Barang]],tblKatalog[],2)</f>
        <v>Kertas A4 @70gr</v>
      </c>
      <c r="D65" s="26" t="str">
        <f>+VLOOKUP(tblMasuk[[#This Row],[Kode Barang]],tblKatalog[],3)</f>
        <v>Kiky @1 Rim</v>
      </c>
      <c r="E65" s="14">
        <v>25</v>
      </c>
      <c r="H65" s="34" t="s">
        <v>153</v>
      </c>
      <c r="I65" s="34" t="str">
        <f>+VLOOKUP(H65,tblKatalog[],2)</f>
        <v xml:space="preserve">Push Pins </v>
      </c>
      <c r="J65" s="35">
        <f>+SUMIF($B$7:$B$999787,"GAA059",E$7:$E$999787)</f>
        <v>0</v>
      </c>
    </row>
    <row r="66" spans="1:10" x14ac:dyDescent="0.25">
      <c r="A66" s="21">
        <v>46260</v>
      </c>
      <c r="B66" s="42" t="s">
        <v>256</v>
      </c>
      <c r="C66" s="26" t="str">
        <f>+VLOOKUP(tblMasuk[[#This Row],[Kode Barang]],tblKatalog[],2)</f>
        <v>Glossy Sticker Paper</v>
      </c>
      <c r="D66" s="26" t="str">
        <f>+VLOOKUP(tblMasuk[[#This Row],[Kode Barang]],tblKatalog[],3)</f>
        <v>Data Print @1 Pack = 20 Sheet</v>
      </c>
      <c r="E66" s="14">
        <v>2</v>
      </c>
      <c r="H66" s="34" t="s">
        <v>159</v>
      </c>
      <c r="I66" s="34" t="str">
        <f>+VLOOKUP(H66,tblKatalog[],2)</f>
        <v>Ink Catridge Black</v>
      </c>
      <c r="J66" s="35">
        <f>+SUMIF($B$7:$B$999787,"GAA060",E$7:$E$999787)</f>
        <v>0</v>
      </c>
    </row>
    <row r="67" spans="1:10" x14ac:dyDescent="0.25">
      <c r="A67" s="21">
        <v>46260</v>
      </c>
      <c r="B67" s="42" t="s">
        <v>34</v>
      </c>
      <c r="C67" s="26" t="str">
        <f>+VLOOKUP(tblMasuk[[#This Row],[Kode Barang]],tblKatalog[],2)</f>
        <v xml:space="preserve">Amplop Putih Polos </v>
      </c>
      <c r="D67" s="26" t="str">
        <f>+VLOOKUP(tblMasuk[[#This Row],[Kode Barang]],tblKatalog[],3)</f>
        <v>Paperline @90</v>
      </c>
      <c r="E67" s="14">
        <v>1</v>
      </c>
      <c r="H67" s="34" t="s">
        <v>170</v>
      </c>
      <c r="I67" s="34" t="str">
        <f>+VLOOKUP(H67,tblKatalog[],2)</f>
        <v>Ink Catridge Yellow</v>
      </c>
      <c r="J67" s="35">
        <f>+SUMIF($B$7:$B$999787,"GAA061",E$7:$E$999787)</f>
        <v>0</v>
      </c>
    </row>
    <row r="68" spans="1:10" x14ac:dyDescent="0.25">
      <c r="A68" s="21"/>
      <c r="B68" s="42"/>
      <c r="C68" s="26" t="e">
        <f>+VLOOKUP(tblMasuk[[#This Row],[Kode Barang]],tblKatalog[],2)</f>
        <v>#N/A</v>
      </c>
      <c r="D68" s="26" t="e">
        <f>+VLOOKUP(tblMasuk[[#This Row],[Kode Barang]],tblKatalog[],3)</f>
        <v>#N/A</v>
      </c>
      <c r="E68" s="14"/>
      <c r="H68" s="34" t="s">
        <v>171</v>
      </c>
      <c r="I68" s="34" t="str">
        <f>+VLOOKUP(H68,tblKatalog[],2)</f>
        <v>Ink Catridge Cyan</v>
      </c>
      <c r="J68" s="35">
        <f>+SUMIF($B$7:$B$999787,"GAA062",E$7:$E$999787)</f>
        <v>0</v>
      </c>
    </row>
    <row r="69" spans="1:10" x14ac:dyDescent="0.25">
      <c r="A69" s="21"/>
      <c r="B69" s="42"/>
      <c r="C69" s="26" t="e">
        <f>+VLOOKUP(tblMasuk[[#This Row],[Kode Barang]],tblKatalog[],2)</f>
        <v>#N/A</v>
      </c>
      <c r="D69" s="26" t="e">
        <f>+VLOOKUP(tblMasuk[[#This Row],[Kode Barang]],tblKatalog[],3)</f>
        <v>#N/A</v>
      </c>
      <c r="E69" s="14"/>
      <c r="H69" s="34" t="s">
        <v>172</v>
      </c>
      <c r="I69" s="34" t="str">
        <f>+VLOOKUP(H69,tblKatalog[],2)</f>
        <v>Ink Catridge Magenta</v>
      </c>
      <c r="J69" s="35">
        <f>+SUMIF($B$7:$B$999787,"GAA063",E$7:$E$999787)</f>
        <v>0</v>
      </c>
    </row>
    <row r="70" spans="1:10" x14ac:dyDescent="0.25">
      <c r="A70" s="21"/>
      <c r="B70" s="42"/>
      <c r="C70" s="26" t="e">
        <f>+VLOOKUP(tblMasuk[[#This Row],[Kode Barang]],tblKatalog[],2)</f>
        <v>#N/A</v>
      </c>
      <c r="D70" s="26" t="e">
        <f>+VLOOKUP(tblMasuk[[#This Row],[Kode Barang]],tblKatalog[],3)</f>
        <v>#N/A</v>
      </c>
      <c r="E70" s="14"/>
      <c r="H70" s="34" t="s">
        <v>173</v>
      </c>
      <c r="I70" s="34" t="str">
        <f>+VLOOKUP(H70,tblKatalog[],2)</f>
        <v xml:space="preserve">Double Tape Automotive Kecil </v>
      </c>
      <c r="J70" s="35">
        <f>+SUMIF($B$7:$B$999787,"GAA064",E$7:$E$999787)</f>
        <v>0</v>
      </c>
    </row>
    <row r="71" spans="1:10" x14ac:dyDescent="0.25">
      <c r="A71" s="21"/>
      <c r="B71" s="42"/>
      <c r="C71" s="26" t="e">
        <f>+VLOOKUP(tblMasuk[[#This Row],[Kode Barang]],tblKatalog[],2)</f>
        <v>#N/A</v>
      </c>
      <c r="D71" s="26" t="e">
        <f>+VLOOKUP(tblMasuk[[#This Row],[Kode Barang]],tblKatalog[],3)</f>
        <v>#N/A</v>
      </c>
      <c r="E71" s="14"/>
      <c r="H71" s="34" t="s">
        <v>174</v>
      </c>
      <c r="I71" s="34" t="str">
        <f>+VLOOKUP(H71,tblKatalog[],2)</f>
        <v xml:space="preserve">Double Tape Automotive Sedang </v>
      </c>
      <c r="J71" s="35">
        <f>+SUMIF($B$7:$B$999787,"GAA065",E$7:$E$999787)</f>
        <v>0</v>
      </c>
    </row>
    <row r="72" spans="1:10" x14ac:dyDescent="0.25">
      <c r="A72" s="21"/>
      <c r="B72" s="42"/>
      <c r="C72" s="26" t="e">
        <f>+VLOOKUP(tblMasuk[[#This Row],[Kode Barang]],tblKatalog[],2)</f>
        <v>#N/A</v>
      </c>
      <c r="D72" s="26" t="e">
        <f>+VLOOKUP(tblMasuk[[#This Row],[Kode Barang]],tblKatalog[],3)</f>
        <v>#N/A</v>
      </c>
      <c r="E72" s="14"/>
      <c r="H72" s="34" t="s">
        <v>175</v>
      </c>
      <c r="I72" s="34" t="str">
        <f>+VLOOKUP(H72,tblKatalog[],2)</f>
        <v>Spidol Whiteboard Marker Blue</v>
      </c>
      <c r="J72" s="35">
        <f>+SUMIF($B$7:$B$999787,"GAA066",E$7:$E$999787)</f>
        <v>0</v>
      </c>
    </row>
    <row r="73" spans="1:10" x14ac:dyDescent="0.25">
      <c r="A73" s="21"/>
      <c r="B73" s="42"/>
      <c r="C73" s="26" t="e">
        <f>+VLOOKUP(tblMasuk[[#This Row],[Kode Barang]],tblKatalog[],2)</f>
        <v>#N/A</v>
      </c>
      <c r="D73" s="26" t="e">
        <f>+VLOOKUP(tblMasuk[[#This Row],[Kode Barang]],tblKatalog[],3)</f>
        <v>#N/A</v>
      </c>
      <c r="E73" s="14"/>
      <c r="H73" s="34" t="s">
        <v>176</v>
      </c>
      <c r="I73" s="34" t="str">
        <f>+VLOOKUP(H73,tblKatalog[],2)</f>
        <v xml:space="preserve">Spidol Permanent Biru </v>
      </c>
      <c r="J73" s="35">
        <f>+SUMIF($B$7:$B$999787,"GAA067",E$7:$E$999787)</f>
        <v>2</v>
      </c>
    </row>
    <row r="74" spans="1:10" x14ac:dyDescent="0.25">
      <c r="A74" s="21"/>
      <c r="B74" s="42"/>
      <c r="C74" s="26" t="e">
        <f>+VLOOKUP(tblMasuk[[#This Row],[Kode Barang]],tblKatalog[],2)</f>
        <v>#N/A</v>
      </c>
      <c r="D74" s="26" t="e">
        <f>+VLOOKUP(tblMasuk[[#This Row],[Kode Barang]],tblKatalog[],3)</f>
        <v>#N/A</v>
      </c>
      <c r="E74" s="14"/>
      <c r="H74" s="34" t="s">
        <v>177</v>
      </c>
      <c r="I74" s="34" t="str">
        <f>+VLOOKUP(H74,tblKatalog[],2)</f>
        <v>Tip-X</v>
      </c>
      <c r="J74" s="35">
        <f>+SUMIF($B$7:$B$999787,"GAA068",E$7:$E$999787)</f>
        <v>5</v>
      </c>
    </row>
    <row r="75" spans="1:10" x14ac:dyDescent="0.25">
      <c r="A75" s="21"/>
      <c r="B75" s="42"/>
      <c r="C75" s="26" t="e">
        <f>+VLOOKUP(tblMasuk[[#This Row],[Kode Barang]],tblKatalog[],2)</f>
        <v>#N/A</v>
      </c>
      <c r="D75" s="26" t="e">
        <f>+VLOOKUP(tblMasuk[[#This Row],[Kode Barang]],tblKatalog[],3)</f>
        <v>#N/A</v>
      </c>
      <c r="E75" s="14"/>
      <c r="H75" s="34" t="s">
        <v>178</v>
      </c>
      <c r="I75" s="34" t="str">
        <f>+VLOOKUP(H75,tblKatalog[],2)</f>
        <v>Kwitansi Besar</v>
      </c>
      <c r="J75" s="35">
        <f>+SUMIF($B$7:$B$999787,"GAA069",E$7:$E$999787)</f>
        <v>0</v>
      </c>
    </row>
    <row r="76" spans="1:10" x14ac:dyDescent="0.25">
      <c r="A76" s="21"/>
      <c r="B76" s="42"/>
      <c r="C76" s="26" t="e">
        <f>+VLOOKUP(tblMasuk[[#This Row],[Kode Barang]],tblKatalog[],2)</f>
        <v>#N/A</v>
      </c>
      <c r="D76" s="26" t="e">
        <f>+VLOOKUP(tblMasuk[[#This Row],[Kode Barang]],tblKatalog[],3)</f>
        <v>#N/A</v>
      </c>
      <c r="E76" s="14"/>
      <c r="H76" s="34" t="s">
        <v>179</v>
      </c>
      <c r="I76" s="34" t="str">
        <f>+VLOOKUP(H76,tblKatalog[],2)</f>
        <v>Penggaris</v>
      </c>
      <c r="J76" s="35">
        <f>+SUMIF($B$7:$B$999787,"GAA070",E$7:$E$999787)</f>
        <v>0</v>
      </c>
    </row>
    <row r="77" spans="1:10" x14ac:dyDescent="0.25">
      <c r="A77" s="21"/>
      <c r="B77" s="42"/>
      <c r="C77" s="26" t="e">
        <f>+VLOOKUP(tblMasuk[[#This Row],[Kode Barang]],tblKatalog[],2)</f>
        <v>#N/A</v>
      </c>
      <c r="D77" s="26" t="e">
        <f>+VLOOKUP(tblMasuk[[#This Row],[Kode Barang]],tblKatalog[],3)</f>
        <v>#N/A</v>
      </c>
      <c r="E77" s="14"/>
      <c r="H77" s="34" t="s">
        <v>180</v>
      </c>
      <c r="I77" s="34" t="str">
        <f>+VLOOKUP(H77,tblKatalog[],2)</f>
        <v xml:space="preserve">Post It Kecil </v>
      </c>
      <c r="J77" s="35">
        <f>+SUMIF($B$7:$B$999787,"GAA071",E$7:$E$999787)</f>
        <v>19</v>
      </c>
    </row>
    <row r="78" spans="1:10" x14ac:dyDescent="0.25">
      <c r="A78" s="21"/>
      <c r="B78" s="42"/>
      <c r="C78" s="26" t="e">
        <f>+VLOOKUP(tblMasuk[[#This Row],[Kode Barang]],tblKatalog[],2)</f>
        <v>#N/A</v>
      </c>
      <c r="D78" s="26" t="e">
        <f>+VLOOKUP(tblMasuk[[#This Row],[Kode Barang]],tblKatalog[],3)</f>
        <v>#N/A</v>
      </c>
      <c r="E78" s="14"/>
      <c r="H78" s="34" t="s">
        <v>181</v>
      </c>
      <c r="I78" s="34" t="str">
        <f>+VLOOKUP(H78,tblKatalog[],2)</f>
        <v xml:space="preserve">Post It Besar </v>
      </c>
      <c r="J78" s="35">
        <f>+SUMIF($B$7:$B$999787,"GAA072,",E$7:$E$999787)</f>
        <v>0</v>
      </c>
    </row>
    <row r="79" spans="1:10" x14ac:dyDescent="0.25">
      <c r="A79" s="21"/>
      <c r="B79" s="42"/>
      <c r="C79" s="26" t="e">
        <f>+VLOOKUP(tblMasuk[[#This Row],[Kode Barang]],tblKatalog[],2)</f>
        <v>#N/A</v>
      </c>
      <c r="D79" s="26" t="e">
        <f>+VLOOKUP(tblMasuk[[#This Row],[Kode Barang]],tblKatalog[],3)</f>
        <v>#N/A</v>
      </c>
      <c r="E79" s="14"/>
      <c r="H79" s="34" t="s">
        <v>182</v>
      </c>
      <c r="I79" s="34" t="str">
        <f>+VLOOKUP(H79,tblKatalog[],2)</f>
        <v>Spon Air</v>
      </c>
      <c r="J79" s="35">
        <f>+SUMIF($B$7:$B$999787,"GAA073",E$7:$E$999787)</f>
        <v>0</v>
      </c>
    </row>
    <row r="80" spans="1:10" x14ac:dyDescent="0.25">
      <c r="A80" s="21"/>
      <c r="B80" s="42"/>
      <c r="C80" s="26" t="e">
        <f>+VLOOKUP(tblMasuk[[#This Row],[Kode Barang]],tblKatalog[],2)</f>
        <v>#N/A</v>
      </c>
      <c r="D80" s="26" t="e">
        <f>+VLOOKUP(tblMasuk[[#This Row],[Kode Barang]],tblKatalog[],3)</f>
        <v>#N/A</v>
      </c>
      <c r="E80" s="14"/>
      <c r="H80" s="34" t="s">
        <v>183</v>
      </c>
      <c r="I80" s="34" t="str">
        <f>+VLOOKUP(H80,tblKatalog[],2)</f>
        <v>Tinta Merah Stamp Pad</v>
      </c>
      <c r="J80" s="35">
        <f>+SUMIF($B$7:$B$999787,"GAA074",E$7:$E$999787)</f>
        <v>0</v>
      </c>
    </row>
    <row r="81" spans="1:10" x14ac:dyDescent="0.25">
      <c r="A81" s="21"/>
      <c r="B81" s="42"/>
      <c r="C81" s="26" t="e">
        <f>+VLOOKUP(tblMasuk[[#This Row],[Kode Barang]],tblKatalog[],2)</f>
        <v>#N/A</v>
      </c>
      <c r="D81" s="26" t="e">
        <f>+VLOOKUP(tblMasuk[[#This Row],[Kode Barang]],tblKatalog[],3)</f>
        <v>#N/A</v>
      </c>
      <c r="E81" s="14"/>
      <c r="H81" s="34" t="s">
        <v>184</v>
      </c>
      <c r="I81" s="34" t="str">
        <f>+VLOOKUP(H81,tblKatalog[],2)</f>
        <v xml:space="preserve">Amplop Coklat Kecil </v>
      </c>
      <c r="J81" s="35">
        <f>+SUMIF($B$7:$B$999787,"GAA075",E$7:$E$999787)</f>
        <v>0</v>
      </c>
    </row>
    <row r="82" spans="1:10" x14ac:dyDescent="0.25">
      <c r="A82" s="21"/>
      <c r="B82" s="42"/>
      <c r="C82" s="26" t="e">
        <f>+VLOOKUP(tblMasuk[[#This Row],[Kode Barang]],tblKatalog[],2)</f>
        <v>#N/A</v>
      </c>
      <c r="D82" s="26" t="e">
        <f>+VLOOKUP(tblMasuk[[#This Row],[Kode Barang]],tblKatalog[],3)</f>
        <v>#N/A</v>
      </c>
      <c r="E82" s="14"/>
      <c r="H82" s="34" t="s">
        <v>185</v>
      </c>
      <c r="I82" s="34" t="str">
        <f>+VLOOKUP(H82,tblKatalog[],2)</f>
        <v>Pensil Faber Castell 2B</v>
      </c>
      <c r="J82" s="35">
        <f>+SUMIF($B$7:$B$999787,"GAA076",E$7:$E$999787)</f>
        <v>0</v>
      </c>
    </row>
    <row r="83" spans="1:10" x14ac:dyDescent="0.25">
      <c r="A83" s="21"/>
      <c r="B83" s="42"/>
      <c r="C83" s="26" t="e">
        <f>+VLOOKUP(tblMasuk[[#This Row],[Kode Barang]],tblKatalog[],2)</f>
        <v>#N/A</v>
      </c>
      <c r="D83" s="26" t="e">
        <f>+VLOOKUP(tblMasuk[[#This Row],[Kode Barang]],tblKatalog[],3)</f>
        <v>#N/A</v>
      </c>
      <c r="E83" s="14"/>
      <c r="H83" s="34" t="s">
        <v>186</v>
      </c>
      <c r="I83" s="34" t="str">
        <f>+VLOOKUP(H83,tblKatalog[],2)</f>
        <v>Lakban Hitam Besar</v>
      </c>
      <c r="J83" s="35">
        <f>+SUMIF($B$7:$B$999787,"GAA077",E$7:$E$999787)</f>
        <v>7</v>
      </c>
    </row>
    <row r="84" spans="1:10" x14ac:dyDescent="0.25">
      <c r="A84" s="21"/>
      <c r="B84" s="42"/>
      <c r="C84" s="26" t="e">
        <f>+VLOOKUP(tblMasuk[[#This Row],[Kode Barang]],tblKatalog[],2)</f>
        <v>#N/A</v>
      </c>
      <c r="D84" s="26" t="e">
        <f>+VLOOKUP(tblMasuk[[#This Row],[Kode Barang]],tblKatalog[],3)</f>
        <v>#N/A</v>
      </c>
      <c r="E84" s="14"/>
      <c r="H84" s="34" t="s">
        <v>187</v>
      </c>
      <c r="I84" s="34" t="str">
        <f>+VLOOKUP(H84,tblKatalog[],2)</f>
        <v>Penggaris 20cm</v>
      </c>
      <c r="J84" s="35">
        <f>+SUMIF($B$7:$B$999787,"GAA078",E$7:$E$999787)</f>
        <v>0</v>
      </c>
    </row>
    <row r="85" spans="1:10" x14ac:dyDescent="0.25">
      <c r="A85" s="21"/>
      <c r="B85" s="42"/>
      <c r="C85" s="26" t="e">
        <f>+VLOOKUP(tblMasuk[[#This Row],[Kode Barang]],tblKatalog[],2)</f>
        <v>#N/A</v>
      </c>
      <c r="D85" s="26" t="e">
        <f>+VLOOKUP(tblMasuk[[#This Row],[Kode Barang]],tblKatalog[],3)</f>
        <v>#N/A</v>
      </c>
      <c r="E85" s="14"/>
      <c r="H85" s="34" t="s">
        <v>220</v>
      </c>
      <c r="I85" s="34" t="str">
        <f>+VLOOKUP(H85,tblKatalog[],2)</f>
        <v>Paper Fastener</v>
      </c>
      <c r="J85" s="35">
        <f>+SUMIF($B$7:$B$999787,"GAA079",E$7:$E$999787)</f>
        <v>0</v>
      </c>
    </row>
    <row r="86" spans="1:10" x14ac:dyDescent="0.25">
      <c r="A86" s="21"/>
      <c r="B86" s="42"/>
      <c r="C86" s="26" t="e">
        <f>+VLOOKUP(tblMasuk[[#This Row],[Kode Barang]],tblKatalog[],2)</f>
        <v>#N/A</v>
      </c>
      <c r="D86" s="26" t="e">
        <f>+VLOOKUP(tblMasuk[[#This Row],[Kode Barang]],tblKatalog[],3)</f>
        <v>#N/A</v>
      </c>
      <c r="E86" s="14"/>
      <c r="H86" s="34" t="s">
        <v>221</v>
      </c>
      <c r="I86" s="34" t="str">
        <f>+VLOOKUP(H86,tblKatalog[],2)</f>
        <v>Baterai AA ABC</v>
      </c>
      <c r="J86" s="35">
        <f>+SUMIF($B$7:$B$999787,"GAA080",E$7:$E$999787)</f>
        <v>78</v>
      </c>
    </row>
    <row r="87" spans="1:10" x14ac:dyDescent="0.25">
      <c r="A87" s="21"/>
      <c r="B87" s="42"/>
      <c r="C87" s="26" t="e">
        <f>+VLOOKUP(tblMasuk[[#This Row],[Kode Barang]],tblKatalog[],2)</f>
        <v>#N/A</v>
      </c>
      <c r="D87" s="26" t="e">
        <f>+VLOOKUP(tblMasuk[[#This Row],[Kode Barang]],tblKatalog[],3)</f>
        <v>#N/A</v>
      </c>
      <c r="E87" s="14"/>
      <c r="H87" s="34" t="s">
        <v>222</v>
      </c>
      <c r="I87" s="34" t="str">
        <f>+VLOOKUP(H87,tblKatalog[],2)</f>
        <v>Kertas Cover Buffalo Biru F4</v>
      </c>
      <c r="J87" s="35">
        <f>+SUMIF($B$7:$B$999787,"GAA081",E$7:$E$999787)</f>
        <v>0</v>
      </c>
    </row>
    <row r="88" spans="1:10" x14ac:dyDescent="0.25">
      <c r="A88" s="21"/>
      <c r="B88" s="42"/>
      <c r="C88" s="26" t="e">
        <f>+VLOOKUP(tblMasuk[[#This Row],[Kode Barang]],tblKatalog[],2)</f>
        <v>#N/A</v>
      </c>
      <c r="D88" s="26" t="e">
        <f>+VLOOKUP(tblMasuk[[#This Row],[Kode Barang]],tblKatalog[],3)</f>
        <v>#N/A</v>
      </c>
      <c r="E88" s="14"/>
      <c r="H88" s="34" t="s">
        <v>223</v>
      </c>
      <c r="I88" s="34" t="str">
        <f>+VLOOKUP(H88,tblKatalog[],2)</f>
        <v>Kertas Cover Buffalo Hijau F4</v>
      </c>
      <c r="J88" s="35">
        <f>+SUMIF($B$7:$B$999787,"GAA082",E$7:$E$999787)</f>
        <v>0</v>
      </c>
    </row>
    <row r="89" spans="1:10" x14ac:dyDescent="0.25">
      <c r="A89" s="21"/>
      <c r="B89" s="42"/>
      <c r="C89" s="26" t="e">
        <f>+VLOOKUP(tblMasuk[[#This Row],[Kode Barang]],tblKatalog[],2)</f>
        <v>#N/A</v>
      </c>
      <c r="D89" s="26" t="e">
        <f>+VLOOKUP(tblMasuk[[#This Row],[Kode Barang]],tblKatalog[],3)</f>
        <v>#N/A</v>
      </c>
      <c r="E89" s="14"/>
      <c r="H89" s="34" t="s">
        <v>249</v>
      </c>
      <c r="I89" s="34" t="str">
        <f>+VLOOKUP(H89,tblKatalog[],2)</f>
        <v>Kertas Cover Buffalo Merah F4</v>
      </c>
      <c r="J89" s="35">
        <f>+SUMIF($B$7:$B$999787,"GAA083",E$7:$E$999787)</f>
        <v>0</v>
      </c>
    </row>
    <row r="90" spans="1:10" x14ac:dyDescent="0.25">
      <c r="A90" s="21"/>
      <c r="B90" s="42"/>
      <c r="C90" s="26" t="e">
        <f>+VLOOKUP(tblMasuk[[#This Row],[Kode Barang]],tblKatalog[],2)</f>
        <v>#N/A</v>
      </c>
      <c r="D90" s="26" t="e">
        <f>+VLOOKUP(tblMasuk[[#This Row],[Kode Barang]],tblKatalog[],3)</f>
        <v>#N/A</v>
      </c>
      <c r="E90" s="14"/>
      <c r="H90" s="34" t="s">
        <v>250</v>
      </c>
      <c r="I90" s="34" t="str">
        <f>+VLOOKUP(H90,tblKatalog[],2)</f>
        <v>Gunting Sedang</v>
      </c>
      <c r="J90" s="35">
        <f>+SUMIF($B$7:$B$999787,"GAA084",E$7:$E$999787)</f>
        <v>5</v>
      </c>
    </row>
    <row r="91" spans="1:10" x14ac:dyDescent="0.25">
      <c r="A91" s="21"/>
      <c r="B91" s="42"/>
      <c r="C91" s="26" t="e">
        <f>+VLOOKUP(tblMasuk[[#This Row],[Kode Barang]],tblKatalog[],2)</f>
        <v>#N/A</v>
      </c>
      <c r="D91" s="26" t="e">
        <f>+VLOOKUP(tblMasuk[[#This Row],[Kode Barang]],tblKatalog[],3)</f>
        <v>#N/A</v>
      </c>
      <c r="E91" s="14"/>
      <c r="H91" s="34" t="s">
        <v>251</v>
      </c>
      <c r="I91" s="34" t="str">
        <f>+VLOOKUP(H91,tblKatalog[],2)</f>
        <v>Cutter</v>
      </c>
      <c r="J91" s="35">
        <f>+SUMIF($B$7:$B$999787,"GAA085",E$7:$E$999787)</f>
        <v>3</v>
      </c>
    </row>
    <row r="92" spans="1:10" x14ac:dyDescent="0.25">
      <c r="A92" s="21"/>
      <c r="B92" s="42"/>
      <c r="C92" s="26" t="e">
        <f>+VLOOKUP(tblMasuk[[#This Row],[Kode Barang]],tblKatalog[],2)</f>
        <v>#N/A</v>
      </c>
      <c r="D92" s="26" t="e">
        <f>+VLOOKUP(tblMasuk[[#This Row],[Kode Barang]],tblKatalog[],3)</f>
        <v>#N/A</v>
      </c>
      <c r="E92" s="14"/>
      <c r="H92" s="34" t="s">
        <v>255</v>
      </c>
      <c r="I92" s="34" t="str">
        <f>+VLOOKUP(H92,tblKatalog[],2)</f>
        <v>Lem Stick Besar</v>
      </c>
      <c r="J92" s="35">
        <f>+SUMIF($B$7:$B$999787,"GAA086",E$7:$E$999787)</f>
        <v>0</v>
      </c>
    </row>
    <row r="93" spans="1:10" x14ac:dyDescent="0.25">
      <c r="A93" s="21"/>
      <c r="B93" s="42"/>
      <c r="C93" s="26" t="e">
        <f>+VLOOKUP(tblMasuk[[#This Row],[Kode Barang]],tblKatalog[],2)</f>
        <v>#N/A</v>
      </c>
      <c r="D93" s="26" t="e">
        <f>+VLOOKUP(tblMasuk[[#This Row],[Kode Barang]],tblKatalog[],3)</f>
        <v>#N/A</v>
      </c>
      <c r="E93" s="14"/>
      <c r="H93" s="34" t="s">
        <v>256</v>
      </c>
      <c r="I93" s="34" t="str">
        <f>+VLOOKUP(H93,tblKatalog[],2)</f>
        <v>Glossy Sticker Paper</v>
      </c>
      <c r="J93" s="35">
        <f>+SUMIF($B$7:$B$999787,"GAA087",E$7:$E$999787)</f>
        <v>5</v>
      </c>
    </row>
    <row r="94" spans="1:10" x14ac:dyDescent="0.25">
      <c r="A94" s="21"/>
      <c r="B94" s="42"/>
      <c r="C94" s="26" t="e">
        <f>+VLOOKUP(tblMasuk[[#This Row],[Kode Barang]],tblKatalog[],2)</f>
        <v>#N/A</v>
      </c>
      <c r="D94" s="26" t="e">
        <f>+VLOOKUP(tblMasuk[[#This Row],[Kode Barang]],tblKatalog[],3)</f>
        <v>#N/A</v>
      </c>
      <c r="E94" s="14"/>
      <c r="H94" s="34" t="s">
        <v>261</v>
      </c>
      <c r="I94" s="34" t="str">
        <f>+VLOOKUP(H94,tblKatalog[],2)</f>
        <v xml:space="preserve">Tape Cutter Besar </v>
      </c>
      <c r="J94" s="35">
        <f>+SUMIF($B$7:$B$999787,"GAA088",E$7:$E$999787)</f>
        <v>0</v>
      </c>
    </row>
    <row r="95" spans="1:10" x14ac:dyDescent="0.25">
      <c r="A95" s="21"/>
      <c r="B95" s="42"/>
      <c r="C95" s="26" t="e">
        <f>+VLOOKUP(tblMasuk[[#This Row],[Kode Barang]],tblKatalog[],2)</f>
        <v>#N/A</v>
      </c>
      <c r="D95" s="26" t="e">
        <f>+VLOOKUP(tblMasuk[[#This Row],[Kode Barang]],tblKatalog[],3)</f>
        <v>#N/A</v>
      </c>
      <c r="E95" s="14"/>
      <c r="H95" s="34" t="s">
        <v>263</v>
      </c>
      <c r="I95" s="34" t="str">
        <f>+VLOOKUP(H95,tblKatalog[],2)</f>
        <v>Ballpoint OPF/OPM Permanent</v>
      </c>
      <c r="J95" s="35">
        <f>+SUMIF($B$7:$B$999787,"GAA089",E$7:$E$999787)</f>
        <v>0</v>
      </c>
    </row>
    <row r="96" spans="1:10" x14ac:dyDescent="0.25">
      <c r="A96" s="21"/>
      <c r="B96" s="42"/>
      <c r="C96" s="26" t="e">
        <f>+VLOOKUP(tblMasuk[[#This Row],[Kode Barang]],tblKatalog[],2)</f>
        <v>#N/A</v>
      </c>
      <c r="D96" s="26" t="e">
        <f>+VLOOKUP(tblMasuk[[#This Row],[Kode Barang]],tblKatalog[],3)</f>
        <v>#N/A</v>
      </c>
      <c r="E96" s="14"/>
      <c r="H96" s="34" t="s">
        <v>265</v>
      </c>
      <c r="I96" s="34" t="str">
        <f>+VLOOKUP(H96,tblKatalog[],2)</f>
        <v>Battery 9 Volt</v>
      </c>
      <c r="J96" s="35">
        <f>+SUMIF($B$7:$B$999787,"GAA090",E$7:$E$999787)</f>
        <v>12</v>
      </c>
    </row>
    <row r="97" spans="1:10" x14ac:dyDescent="0.25">
      <c r="A97" s="21"/>
      <c r="B97" s="42"/>
      <c r="C97" s="26" t="e">
        <f>+VLOOKUP(tblMasuk[[#This Row],[Kode Barang]],tblKatalog[],2)</f>
        <v>#N/A</v>
      </c>
      <c r="D97" s="26" t="e">
        <f>+VLOOKUP(tblMasuk[[#This Row],[Kode Barang]],tblKatalog[],3)</f>
        <v>#N/A</v>
      </c>
      <c r="E97" s="14"/>
      <c r="H97" s="34" t="s">
        <v>268</v>
      </c>
      <c r="I97" s="34" t="str">
        <f>+VLOOKUP(H97,tblKatalog[],2)</f>
        <v xml:space="preserve">Lakban Kertas Kecil </v>
      </c>
      <c r="J97" s="35">
        <f>+SUMIF($B$7:$B$999787,"GAA091",E$7:$E$999787)</f>
        <v>0</v>
      </c>
    </row>
    <row r="98" spans="1:10" x14ac:dyDescent="0.25">
      <c r="A98" s="21"/>
      <c r="B98" s="42"/>
      <c r="C98" s="26" t="e">
        <f>+VLOOKUP(tblMasuk[[#This Row],[Kode Barang]],tblKatalog[],2)</f>
        <v>#N/A</v>
      </c>
      <c r="D98" s="26" t="e">
        <f>+VLOOKUP(tblMasuk[[#This Row],[Kode Barang]],tblKatalog[],3)</f>
        <v>#N/A</v>
      </c>
      <c r="E98" s="14"/>
      <c r="H98" s="34" t="s">
        <v>271</v>
      </c>
      <c r="I98" s="34" t="str">
        <f>+VLOOKUP(H98,tblKatalog[],2)</f>
        <v xml:space="preserve">Lem Castol </v>
      </c>
      <c r="J98" s="35">
        <f>+SUMIF($B$7:$B$999787,"GAA092",E$7:$E$999787)</f>
        <v>0</v>
      </c>
    </row>
    <row r="99" spans="1:10" x14ac:dyDescent="0.25">
      <c r="A99" s="21"/>
      <c r="B99" s="42"/>
      <c r="C99" s="26" t="e">
        <f>+VLOOKUP(tblMasuk[[#This Row],[Kode Barang]],tblKatalog[],2)</f>
        <v>#N/A</v>
      </c>
      <c r="D99" s="26" t="e">
        <f>+VLOOKUP(tblMasuk[[#This Row],[Kode Barang]],tblKatalog[],3)</f>
        <v>#N/A</v>
      </c>
      <c r="E99" s="14"/>
      <c r="H99" s="34" t="s">
        <v>274</v>
      </c>
      <c r="I99" s="34" t="str">
        <f>+VLOOKUP(H99,tblKatalog[],2)</f>
        <v>Amplop Besar</v>
      </c>
      <c r="J99" s="35">
        <f>+SUMIF($B$7:$B$999787,"GAA093",E$7:$E$999787)</f>
        <v>0</v>
      </c>
    </row>
    <row r="100" spans="1:10" x14ac:dyDescent="0.25">
      <c r="A100" s="21"/>
      <c r="B100" s="42"/>
      <c r="C100" s="26" t="e">
        <f>+VLOOKUP(tblMasuk[[#This Row],[Kode Barang]],tblKatalog[],2)</f>
        <v>#N/A</v>
      </c>
      <c r="D100" s="26" t="e">
        <f>+VLOOKUP(tblMasuk[[#This Row],[Kode Barang]],tblKatalog[],3)</f>
        <v>#N/A</v>
      </c>
      <c r="E100" s="14"/>
      <c r="H100" s="34" t="s">
        <v>275</v>
      </c>
      <c r="I100" s="34" t="str">
        <f>+VLOOKUP(H100,tblKatalog[],2)</f>
        <v>Amplop A3</v>
      </c>
      <c r="J100" s="35">
        <f>+SUMIF($B$7:$B$999787,"GAA094",E$7:$E$999787)</f>
        <v>0</v>
      </c>
    </row>
    <row r="101" spans="1:10" x14ac:dyDescent="0.25">
      <c r="A101" s="21"/>
      <c r="B101" s="42"/>
      <c r="C101" s="26" t="e">
        <f>+VLOOKUP(tblMasuk[[#This Row],[Kode Barang]],tblKatalog[],2)</f>
        <v>#N/A</v>
      </c>
      <c r="D101" s="26" t="e">
        <f>+VLOOKUP(tblMasuk[[#This Row],[Kode Barang]],tblKatalog[],3)</f>
        <v>#N/A</v>
      </c>
      <c r="E101" s="14"/>
      <c r="H101" s="34" t="s">
        <v>278</v>
      </c>
      <c r="I101" s="34" t="str">
        <f>+VLOOKUP(H101,tblKatalog[],2)</f>
        <v>Pulpen 4 Warna</v>
      </c>
      <c r="J101" s="35">
        <f>+SUMIF($B$7:$B$999787,"GAA095",E$7:$E$999787)</f>
        <v>72</v>
      </c>
    </row>
    <row r="102" spans="1:10" x14ac:dyDescent="0.25">
      <c r="A102" s="21"/>
      <c r="B102" s="42"/>
      <c r="C102" s="26" t="e">
        <f>+VLOOKUP(tblMasuk[[#This Row],[Kode Barang]],tblKatalog[],2)</f>
        <v>#N/A</v>
      </c>
      <c r="D102" s="26" t="e">
        <f>+VLOOKUP(tblMasuk[[#This Row],[Kode Barang]],tblKatalog[],3)</f>
        <v>#N/A</v>
      </c>
      <c r="E102" s="14"/>
      <c r="H102" s="34" t="s">
        <v>281</v>
      </c>
      <c r="I102" s="34" t="str">
        <f>+VLOOKUP(H102,tblKatalog[],2)</f>
        <v>Lakban Merah Besar</v>
      </c>
      <c r="J102" s="35">
        <f>+SUMIF($B$7:$B$999787,"GAA096",E$7:$E$999787)</f>
        <v>0</v>
      </c>
    </row>
    <row r="103" spans="1:10" x14ac:dyDescent="0.25">
      <c r="A103" s="21"/>
      <c r="B103" s="42"/>
      <c r="C103" s="26" t="e">
        <f>+VLOOKUP(tblMasuk[[#This Row],[Kode Barang]],tblKatalog[],2)</f>
        <v>#N/A</v>
      </c>
      <c r="D103" s="26" t="e">
        <f>+VLOOKUP(tblMasuk[[#This Row],[Kode Barang]],tblKatalog[],3)</f>
        <v>#N/A</v>
      </c>
      <c r="E103" s="14"/>
      <c r="H103" s="34" t="s">
        <v>284</v>
      </c>
      <c r="I103" s="34" t="str">
        <f>+VLOOKUP(H103,tblKatalog[],2)</f>
        <v>Lem Alteco</v>
      </c>
      <c r="J103" s="35">
        <f>+SUMIF($B$7:$B$999787,"GAA097",E$7:$E$999787)</f>
        <v>0</v>
      </c>
    </row>
    <row r="104" spans="1:10" x14ac:dyDescent="0.25">
      <c r="A104" s="21"/>
      <c r="B104" s="42"/>
      <c r="C104" s="26" t="e">
        <f>+VLOOKUP(tblMasuk[[#This Row],[Kode Barang]],tblKatalog[],2)</f>
        <v>#N/A</v>
      </c>
      <c r="D104" s="26" t="e">
        <f>+VLOOKUP(tblMasuk[[#This Row],[Kode Barang]],tblKatalog[],3)</f>
        <v>#N/A</v>
      </c>
      <c r="E104" s="14"/>
      <c r="H104" s="34" t="s">
        <v>285</v>
      </c>
      <c r="I104" s="34" t="str">
        <f>+VLOOKUP(H104,tblKatalog[],2)</f>
        <v>Nota 1 Ply</v>
      </c>
      <c r="J104" s="35">
        <f>+SUMIF($B$7:$B$999787,"GAA098",E$7:$E$999787)</f>
        <v>0</v>
      </c>
    </row>
    <row r="105" spans="1:10" x14ac:dyDescent="0.25">
      <c r="A105" s="21"/>
      <c r="B105" s="42"/>
      <c r="C105" s="26" t="e">
        <f>+VLOOKUP(tblMasuk[[#This Row],[Kode Barang]],tblKatalog[],2)</f>
        <v>#N/A</v>
      </c>
      <c r="D105" s="26" t="e">
        <f>+VLOOKUP(tblMasuk[[#This Row],[Kode Barang]],tblKatalog[],3)</f>
        <v>#N/A</v>
      </c>
      <c r="E105" s="14"/>
      <c r="H105" s="34" t="s">
        <v>289</v>
      </c>
      <c r="I105" s="34" t="str">
        <f>+VLOOKUP(H105,tblKatalog[],2)</f>
        <v>Buku Jurnal</v>
      </c>
      <c r="J105" s="35">
        <f>+SUMIF($B$7:$B$999787,"GAA099",E$7:$E$999787)</f>
        <v>0</v>
      </c>
    </row>
    <row r="106" spans="1:10" x14ac:dyDescent="0.25">
      <c r="A106" s="21"/>
      <c r="B106" s="42"/>
      <c r="C106" s="26" t="e">
        <f>+VLOOKUP(tblMasuk[[#This Row],[Kode Barang]],tblKatalog[],2)</f>
        <v>#N/A</v>
      </c>
      <c r="D106" s="26" t="e">
        <f>+VLOOKUP(tblMasuk[[#This Row],[Kode Barang]],tblKatalog[],3)</f>
        <v>#N/A</v>
      </c>
      <c r="E106" s="14"/>
      <c r="H106" s="34" t="s">
        <v>290</v>
      </c>
      <c r="I106" s="34" t="str">
        <f>+VLOOKUP(H106,tblKatalog[],2)</f>
        <v>Amplop 1/2 A4</v>
      </c>
      <c r="J106" s="35">
        <f>+SUMIF($B$7:$B$999787,"GAA100",E$7:$E$999787)</f>
        <v>0</v>
      </c>
    </row>
    <row r="107" spans="1:10" x14ac:dyDescent="0.25">
      <c r="A107" s="21"/>
      <c r="B107" s="42"/>
      <c r="C107" s="26" t="e">
        <f>+VLOOKUP(tblMasuk[[#This Row],[Kode Barang]],tblKatalog[],2)</f>
        <v>#N/A</v>
      </c>
      <c r="D107" s="26" t="e">
        <f>+VLOOKUP(tblMasuk[[#This Row],[Kode Barang]],tblKatalog[],3)</f>
        <v>#N/A</v>
      </c>
      <c r="E107" s="14"/>
      <c r="H107" s="34" t="s">
        <v>300</v>
      </c>
      <c r="I107" s="34" t="str">
        <f>+VLOOKUP(H107,tblKatalog[],2)</f>
        <v>Lem Stick Kecil</v>
      </c>
      <c r="J107" s="35">
        <f>+SUMIF($B$7:$B$999787,"GAA101",E$7:$E$999787)</f>
        <v>1</v>
      </c>
    </row>
    <row r="108" spans="1:10" x14ac:dyDescent="0.25">
      <c r="A108" s="21"/>
      <c r="B108" s="42"/>
      <c r="C108" s="26" t="e">
        <f>+VLOOKUP(tblMasuk[[#This Row],[Kode Barang]],tblKatalog[],2)</f>
        <v>#N/A</v>
      </c>
      <c r="D108" s="26" t="e">
        <f>+VLOOKUP(tblMasuk[[#This Row],[Kode Barang]],tblKatalog[],3)</f>
        <v>#N/A</v>
      </c>
      <c r="E108" s="14"/>
      <c r="H108" s="34" t="s">
        <v>301</v>
      </c>
      <c r="I108" s="34" t="str">
        <f>+VLOOKUP(H108,tblKatalog[],2)</f>
        <v>Double Tape Sedang</v>
      </c>
      <c r="J108" s="35">
        <f>+SUMIF($B$7:$B$999787,"GAA102",E$7:$E$999787)</f>
        <v>0</v>
      </c>
    </row>
    <row r="109" spans="1:10" x14ac:dyDescent="0.25">
      <c r="A109" s="21"/>
      <c r="B109" s="42"/>
      <c r="C109" s="26" t="e">
        <f>+VLOOKUP(tblMasuk[[#This Row],[Kode Barang]],tblKatalog[],2)</f>
        <v>#N/A</v>
      </c>
      <c r="D109" s="26" t="e">
        <f>+VLOOKUP(tblMasuk[[#This Row],[Kode Barang]],tblKatalog[],3)</f>
        <v>#N/A</v>
      </c>
      <c r="E109" s="14"/>
      <c r="H109" s="34" t="s">
        <v>304</v>
      </c>
      <c r="I109" s="34" t="str">
        <f>+VLOOKUP(H109,tblKatalog[],2)</f>
        <v>Eraser Whiteboard</v>
      </c>
      <c r="J109" s="35">
        <f>+SUMIF($B$7:$B$999787,"GAA103",E$7:$E$999787)</f>
        <v>0</v>
      </c>
    </row>
    <row r="110" spans="1:10" x14ac:dyDescent="0.25">
      <c r="A110" s="21"/>
      <c r="B110" s="42"/>
      <c r="C110" s="26" t="e">
        <f>+VLOOKUP(tblMasuk[[#This Row],[Kode Barang]],tblKatalog[],2)</f>
        <v>#N/A</v>
      </c>
      <c r="D110" s="26" t="e">
        <f>+VLOOKUP(tblMasuk[[#This Row],[Kode Barang]],tblKatalog[],3)</f>
        <v>#N/A</v>
      </c>
      <c r="E110" s="14"/>
      <c r="H110" s="34" t="s">
        <v>307</v>
      </c>
      <c r="I110" s="34" t="str">
        <f>+VLOOKUP(H110,tblKatalog[],2)</f>
        <v>Kertas Cover Buffalo Putih F4</v>
      </c>
      <c r="J110" s="35">
        <f>+SUMIF($B$7:$B$999787,"GAA104",E$7:$E$999787)</f>
        <v>0</v>
      </c>
    </row>
    <row r="111" spans="1:10" x14ac:dyDescent="0.25">
      <c r="A111" s="21"/>
      <c r="B111" s="42"/>
      <c r="C111" s="26" t="e">
        <f>+VLOOKUP(tblMasuk[[#This Row],[Kode Barang]],tblKatalog[],2)</f>
        <v>#N/A</v>
      </c>
      <c r="D111" s="26" t="e">
        <f>+VLOOKUP(tblMasuk[[#This Row],[Kode Barang]],tblKatalog[],3)</f>
        <v>#N/A</v>
      </c>
      <c r="E111" s="14"/>
      <c r="H111" s="34" t="s">
        <v>309</v>
      </c>
      <c r="I111" s="34" t="str">
        <f>+VLOOKUP(H111,tblKatalog[],2)</f>
        <v>Kertas A3 @70gr</v>
      </c>
      <c r="J111" s="35">
        <f>+SUMIF($B$7:$B$999787,"GAA105",E$7:$E$999787)</f>
        <v>0</v>
      </c>
    </row>
    <row r="112" spans="1:10" x14ac:dyDescent="0.25">
      <c r="A112" s="21"/>
      <c r="B112" s="42"/>
      <c r="C112" s="26" t="e">
        <f>+VLOOKUP(tblMasuk[[#This Row],[Kode Barang]],tblKatalog[],2)</f>
        <v>#N/A</v>
      </c>
      <c r="D112" s="26" t="e">
        <f>+VLOOKUP(tblMasuk[[#This Row],[Kode Barang]],tblKatalog[],3)</f>
        <v>#N/A</v>
      </c>
      <c r="E112" s="14"/>
      <c r="H112" s="34" t="s">
        <v>313</v>
      </c>
      <c r="I112" s="34" t="str">
        <f>+VLOOKUP(H112,tblKatalog[],2)</f>
        <v>Catridge Toner Printer HP 85A</v>
      </c>
      <c r="J112" s="35">
        <f>+SUMIF($B$7:$B$999787,"GAA106",E$7:$E$999787)</f>
        <v>0</v>
      </c>
    </row>
    <row r="113" spans="1:10" x14ac:dyDescent="0.25">
      <c r="A113" s="21"/>
      <c r="B113" s="42"/>
      <c r="C113" s="26" t="e">
        <f>+VLOOKUP(tblMasuk[[#This Row],[Kode Barang]],tblKatalog[],2)</f>
        <v>#N/A</v>
      </c>
      <c r="D113" s="26" t="e">
        <f>+VLOOKUP(tblMasuk[[#This Row],[Kode Barang]],tblKatalog[],3)</f>
        <v>#N/A</v>
      </c>
      <c r="E113" s="14"/>
      <c r="H113" s="34" t="s">
        <v>314</v>
      </c>
      <c r="I113" s="34" t="str">
        <f>+VLOOKUP(H113,tblKatalog[],2)</f>
        <v>Catridge Toner Printer HP 78A</v>
      </c>
      <c r="J113" s="35">
        <f>+SUMIF($B$7:$B$999787,"GAA107",E$7:$E$999787)</f>
        <v>0</v>
      </c>
    </row>
    <row r="114" spans="1:10" x14ac:dyDescent="0.25">
      <c r="A114" s="21"/>
      <c r="B114" s="42"/>
      <c r="C114" s="26" t="e">
        <f>+VLOOKUP(tblMasuk[[#This Row],[Kode Barang]],tblKatalog[],2)</f>
        <v>#N/A</v>
      </c>
      <c r="D114" s="26" t="e">
        <f>+VLOOKUP(tblMasuk[[#This Row],[Kode Barang]],tblKatalog[],3)</f>
        <v>#N/A</v>
      </c>
      <c r="E114" s="14"/>
      <c r="H114" s="34" t="s">
        <v>321</v>
      </c>
      <c r="I114" s="34" t="str">
        <f>+VLOOKUP(H114,tblKatalog[],2)</f>
        <v>Post It Sedang</v>
      </c>
      <c r="J114" s="35">
        <f>+SUMIF($B$7:$B$999787,"GAA108",E$7:$E$999787)</f>
        <v>10</v>
      </c>
    </row>
    <row r="115" spans="1:10" x14ac:dyDescent="0.25">
      <c r="A115" s="21"/>
      <c r="B115" s="42"/>
      <c r="C115" s="26" t="e">
        <f>+VLOOKUP(tblMasuk[[#This Row],[Kode Barang]],tblKatalog[],2)</f>
        <v>#N/A</v>
      </c>
      <c r="D115" s="26" t="e">
        <f>+VLOOKUP(tblMasuk[[#This Row],[Kode Barang]],tblKatalog[],3)</f>
        <v>#N/A</v>
      </c>
      <c r="E115" s="14"/>
      <c r="H115" s="34" t="s">
        <v>323</v>
      </c>
      <c r="I115" s="34" t="str">
        <f>+VLOOKUP(H115,tblKatalog[],2)</f>
        <v>Tip-X Kertas</v>
      </c>
      <c r="J115" s="35">
        <f>+SUMIF($B$7:$B$999787,"GAA109",E$7:$E$999787)</f>
        <v>2</v>
      </c>
    </row>
    <row r="116" spans="1:10" x14ac:dyDescent="0.25">
      <c r="A116" s="21"/>
      <c r="B116" s="42"/>
      <c r="C116" s="26" t="e">
        <f>+VLOOKUP(tblMasuk[[#This Row],[Kode Barang]],tblKatalog[],2)</f>
        <v>#N/A</v>
      </c>
      <c r="D116" s="26" t="e">
        <f>+VLOOKUP(tblMasuk[[#This Row],[Kode Barang]],tblKatalog[],3)</f>
        <v>#N/A</v>
      </c>
      <c r="E116" s="14"/>
      <c r="H116" s="34" t="s">
        <v>326</v>
      </c>
      <c r="I116" s="34" t="str">
        <f>+VLOOKUP(H116,tblKatalog[],2)</f>
        <v>Karet Gelang</v>
      </c>
      <c r="J116" s="35">
        <f>+SUMIF($B$7:$B$999787,"GAA110",E$7:$E$999787)</f>
        <v>2</v>
      </c>
    </row>
    <row r="117" spans="1:10" x14ac:dyDescent="0.25">
      <c r="A117" s="21"/>
      <c r="B117" s="42"/>
      <c r="C117" s="26" t="e">
        <f>+VLOOKUP(tblMasuk[[#This Row],[Kode Barang]],tblKatalog[],2)</f>
        <v>#N/A</v>
      </c>
      <c r="D117" s="26" t="e">
        <f>+VLOOKUP(tblMasuk[[#This Row],[Kode Barang]],tblKatalog[],3)</f>
        <v>#N/A</v>
      </c>
      <c r="E117" s="14"/>
      <c r="H117" s="34" t="s">
        <v>329</v>
      </c>
      <c r="I117" s="34" t="str">
        <f>+VLOOKUP(H117,tblKatalog[],2)</f>
        <v>Post It Sign Here</v>
      </c>
      <c r="J117" s="35">
        <f>+SUMIF($B$7:$B$999787,"GAA111",E$7:$E$999787)</f>
        <v>4</v>
      </c>
    </row>
    <row r="118" spans="1:10" x14ac:dyDescent="0.25">
      <c r="A118" s="21"/>
      <c r="B118" s="42"/>
      <c r="C118" s="26" t="e">
        <f>+VLOOKUP(tblMasuk[[#This Row],[Kode Barang]],tblKatalog[],2)</f>
        <v>#N/A</v>
      </c>
      <c r="D118" s="26" t="e">
        <f>+VLOOKUP(tblMasuk[[#This Row],[Kode Barang]],tblKatalog[],3)</f>
        <v>#N/A</v>
      </c>
      <c r="E118" s="14"/>
      <c r="H118" s="34" t="s">
        <v>332</v>
      </c>
      <c r="I118" s="34" t="str">
        <f>+VLOOKUP(H118,tblKatalog[],2)</f>
        <v xml:space="preserve">Staples </v>
      </c>
      <c r="J118" s="35">
        <f>+SUMIF($B$7:$B$999787,"GAA112",E$7:$E$999787)</f>
        <v>1</v>
      </c>
    </row>
    <row r="119" spans="1:10" x14ac:dyDescent="0.25">
      <c r="A119" s="21"/>
      <c r="B119" s="42"/>
      <c r="C119" s="26" t="e">
        <f>+VLOOKUP(tblMasuk[[#This Row],[Kode Barang]],tblKatalog[],2)</f>
        <v>#N/A</v>
      </c>
      <c r="D119" s="26" t="e">
        <f>+VLOOKUP(tblMasuk[[#This Row],[Kode Barang]],tblKatalog[],3)</f>
        <v>#N/A</v>
      </c>
      <c r="E119" s="14"/>
      <c r="H119" s="34" t="s">
        <v>340</v>
      </c>
      <c r="I119" s="34" t="str">
        <f>+VLOOKUP(H119,tblKatalog[],2)</f>
        <v>Ink Catridge Black</v>
      </c>
      <c r="J119" s="35">
        <f>+SUMIF($B$7:$B$999787,"GAA113",E$7:$E$999787)</f>
        <v>0</v>
      </c>
    </row>
    <row r="120" spans="1:10" x14ac:dyDescent="0.25">
      <c r="A120" s="21"/>
      <c r="B120" s="42"/>
      <c r="C120" s="26" t="e">
        <f>+VLOOKUP(tblMasuk[[#This Row],[Kode Barang]],tblKatalog[],2)</f>
        <v>#N/A</v>
      </c>
      <c r="D120" s="26" t="e">
        <f>+VLOOKUP(tblMasuk[[#This Row],[Kode Barang]],tblKatalog[],3)</f>
        <v>#N/A</v>
      </c>
      <c r="E120" s="14"/>
      <c r="H120" s="34" t="s">
        <v>341</v>
      </c>
      <c r="I120" s="34" t="str">
        <f>+VLOOKUP(H120,tblKatalog[],2)</f>
        <v>Ink Catridge Cyan</v>
      </c>
      <c r="J120" s="35">
        <f>+SUMIF($B$7:$B$999787,"GAA114",E$7:$E$999787)</f>
        <v>0</v>
      </c>
    </row>
    <row r="121" spans="1:10" x14ac:dyDescent="0.25">
      <c r="A121" s="21"/>
      <c r="B121" s="42"/>
      <c r="C121" s="26" t="e">
        <f>+VLOOKUP(tblMasuk[[#This Row],[Kode Barang]],tblKatalog[],2)</f>
        <v>#N/A</v>
      </c>
      <c r="D121" s="26" t="e">
        <f>+VLOOKUP(tblMasuk[[#This Row],[Kode Barang]],tblKatalog[],3)</f>
        <v>#N/A</v>
      </c>
      <c r="E121" s="14"/>
      <c r="H121" s="34" t="s">
        <v>342</v>
      </c>
      <c r="I121" s="34" t="str">
        <f>+VLOOKUP(H121,tblKatalog[],2)</f>
        <v>Ink Catridge Magenta</v>
      </c>
      <c r="J121" s="35">
        <f>+SUMIF($B$7:$B$999787,"GAA115",E$7:$E$999787)</f>
        <v>0</v>
      </c>
    </row>
    <row r="122" spans="1:10" x14ac:dyDescent="0.25">
      <c r="A122" s="21"/>
      <c r="B122" s="42"/>
      <c r="C122" s="26" t="e">
        <f>+VLOOKUP(tblMasuk[[#This Row],[Kode Barang]],tblKatalog[],2)</f>
        <v>#N/A</v>
      </c>
      <c r="D122" s="26" t="e">
        <f>+VLOOKUP(tblMasuk[[#This Row],[Kode Barang]],tblKatalog[],3)</f>
        <v>#N/A</v>
      </c>
      <c r="E122" s="14"/>
      <c r="H122" s="34" t="s">
        <v>343</v>
      </c>
      <c r="I122" s="34" t="str">
        <f>+VLOOKUP(H122,tblKatalog[],2)</f>
        <v>Ink Catridge Yellow</v>
      </c>
      <c r="J122" s="35">
        <f>+SUMIF($B$7:$B$999787,"GAA116",E$7:$E$999787)</f>
        <v>0</v>
      </c>
    </row>
    <row r="123" spans="1:10" x14ac:dyDescent="0.25">
      <c r="A123" s="21"/>
      <c r="B123" s="42"/>
      <c r="C123" s="26" t="e">
        <f>+VLOOKUP(tblMasuk[[#This Row],[Kode Barang]],tblKatalog[],2)</f>
        <v>#N/A</v>
      </c>
      <c r="D123" s="26" t="e">
        <f>+VLOOKUP(tblMasuk[[#This Row],[Kode Barang]],tblKatalog[],3)</f>
        <v>#N/A</v>
      </c>
      <c r="E123" s="14"/>
      <c r="H123" s="34" t="s">
        <v>344</v>
      </c>
      <c r="I123" s="34" t="str">
        <f>+VLOOKUP(H123,tblKatalog[],2)</f>
        <v>Binder Clips@No.155</v>
      </c>
      <c r="J123" s="35">
        <f>+SUMIF($B$7:$B$999787,"GAA117",E$7:$E$999787)</f>
        <v>1</v>
      </c>
    </row>
    <row r="124" spans="1:10" x14ac:dyDescent="0.25">
      <c r="A124" s="21"/>
      <c r="B124" s="42"/>
      <c r="C124" s="26" t="e">
        <f>+VLOOKUP(tblMasuk[[#This Row],[Kode Barang]],tblKatalog[],2)</f>
        <v>#N/A</v>
      </c>
      <c r="D124" s="26" t="e">
        <f>+VLOOKUP(tblMasuk[[#This Row],[Kode Barang]],tblKatalog[],3)</f>
        <v>#N/A</v>
      </c>
      <c r="E124" s="14"/>
      <c r="H124" s="34" t="s">
        <v>346</v>
      </c>
      <c r="I124" s="34" t="str">
        <f>+VLOOKUP(H124,tblKatalog[],2)</f>
        <v>Glossy Photo Paper Double Side A4</v>
      </c>
      <c r="J124" s="35">
        <f>+SUMIF($B$7:$B$999787,"GAA118",E$7:$E$999787)</f>
        <v>1</v>
      </c>
    </row>
    <row r="125" spans="1:10" x14ac:dyDescent="0.25">
      <c r="A125" s="21"/>
      <c r="B125" s="42"/>
      <c r="C125" s="26" t="e">
        <f>+VLOOKUP(tblMasuk[[#This Row],[Kode Barang]],tblKatalog[],2)</f>
        <v>#N/A</v>
      </c>
      <c r="D125" s="26" t="e">
        <f>+VLOOKUP(tblMasuk[[#This Row],[Kode Barang]],tblKatalog[],3)</f>
        <v>#N/A</v>
      </c>
      <c r="E125" s="14"/>
      <c r="H125" s="34" t="s">
        <v>348</v>
      </c>
      <c r="I125" s="34" t="str">
        <f>+VLOOKUP(H125,tblKatalog[],2)</f>
        <v>Pulpen Gel Hitam 0,5mm</v>
      </c>
      <c r="J125" s="35">
        <f>+SUMIF($B$7:$B$999787,"GAA119",E$7:$E$999787)</f>
        <v>48</v>
      </c>
    </row>
    <row r="126" spans="1:10" x14ac:dyDescent="0.25">
      <c r="A126" s="21"/>
      <c r="B126" s="42"/>
      <c r="C126" s="26" t="e">
        <f>+VLOOKUP(tblMasuk[[#This Row],[Kode Barang]],tblKatalog[],2)</f>
        <v>#N/A</v>
      </c>
      <c r="D126" s="26" t="e">
        <f>+VLOOKUP(tblMasuk[[#This Row],[Kode Barang]],tblKatalog[],3)</f>
        <v>#N/A</v>
      </c>
      <c r="E126" s="14"/>
      <c r="H126" s="34" t="s">
        <v>351</v>
      </c>
      <c r="I126" s="34" t="str">
        <f>+VLOOKUP(H126,tblKatalog[],2)</f>
        <v>Lakban Hitam Sedang</v>
      </c>
      <c r="J126" s="35">
        <f>+SUMIF($B$7:$B$999787,"GAA120",E$7:$E$999787)</f>
        <v>0</v>
      </c>
    </row>
    <row r="127" spans="1:10" x14ac:dyDescent="0.25">
      <c r="A127" s="21"/>
      <c r="B127" s="42"/>
      <c r="C127" s="26" t="e">
        <f>+VLOOKUP(tblMasuk[[#This Row],[Kode Barang]],tblKatalog[],2)</f>
        <v>#N/A</v>
      </c>
      <c r="D127" s="26" t="e">
        <f>+VLOOKUP(tblMasuk[[#This Row],[Kode Barang]],tblKatalog[],3)</f>
        <v>#N/A</v>
      </c>
      <c r="E127" s="14"/>
      <c r="H127" s="34" t="s">
        <v>354</v>
      </c>
      <c r="I127" s="34" t="str">
        <f>+VLOOKUP(H127,tblKatalog[],2)</f>
        <v>Isolasi Bening Kecil</v>
      </c>
      <c r="J127" s="35">
        <f>+SUMIF($B$7:$B$999787,"GAA121",E$7:$E$999787)</f>
        <v>0</v>
      </c>
    </row>
    <row r="128" spans="1:10" x14ac:dyDescent="0.25">
      <c r="A128" s="21"/>
      <c r="B128" s="42"/>
      <c r="C128" s="26" t="e">
        <f>+VLOOKUP(tblMasuk[[#This Row],[Kode Barang]],tblKatalog[],2)</f>
        <v>#N/A</v>
      </c>
      <c r="D128" s="26" t="e">
        <f>+VLOOKUP(tblMasuk[[#This Row],[Kode Barang]],tblKatalog[],3)</f>
        <v>#N/A</v>
      </c>
      <c r="E128" s="14"/>
      <c r="H128" s="34" t="s">
        <v>356</v>
      </c>
      <c r="I128" s="34" t="str">
        <f>+VLOOKUP(H128,tblKatalog[],2)</f>
        <v>Post It 3 Color</v>
      </c>
      <c r="J128" s="35">
        <f>+SUMIF($B$7:$B$999787,"GAA122",E$7:$E$999787)</f>
        <v>11</v>
      </c>
    </row>
    <row r="129" spans="1:10" x14ac:dyDescent="0.25">
      <c r="A129" s="21"/>
      <c r="B129" s="42"/>
      <c r="C129" s="26" t="e">
        <f>+VLOOKUP(tblMasuk[[#This Row],[Kode Barang]],tblKatalog[],2)</f>
        <v>#N/A</v>
      </c>
      <c r="D129" s="26" t="e">
        <f>+VLOOKUP(tblMasuk[[#This Row],[Kode Barang]],tblKatalog[],3)</f>
        <v>#N/A</v>
      </c>
      <c r="E129" s="14"/>
      <c r="H129" s="34" t="s">
        <v>359</v>
      </c>
      <c r="I129" s="34" t="str">
        <f>+VLOOKUP(H129,tblKatalog[],2)</f>
        <v>Lem Epoxy</v>
      </c>
      <c r="J129" s="35">
        <f>+SUMIF($B$7:$B$999787,"GAA123",E$7:$E$999787)</f>
        <v>0</v>
      </c>
    </row>
    <row r="130" spans="1:10" x14ac:dyDescent="0.25">
      <c r="A130" s="21"/>
      <c r="B130" s="42"/>
      <c r="C130" s="26" t="e">
        <f>+VLOOKUP(tblMasuk[[#This Row],[Kode Barang]],tblKatalog[],2)</f>
        <v>#N/A</v>
      </c>
      <c r="D130" s="26" t="e">
        <f>+VLOOKUP(tblMasuk[[#This Row],[Kode Barang]],tblKatalog[],3)</f>
        <v>#N/A</v>
      </c>
      <c r="E130" s="14"/>
      <c r="H130" s="34" t="s">
        <v>361</v>
      </c>
      <c r="I130" s="34" t="str">
        <f>+VLOOKUP(H130,tblKatalog[],2)</f>
        <v>3M Scotch 23 Rubber Splicing Tape</v>
      </c>
      <c r="J130" s="35">
        <f>+SUMIF($B$7:$B$999787,"GAA124",E$7:$E$999787)</f>
        <v>0</v>
      </c>
    </row>
    <row r="131" spans="1:10" x14ac:dyDescent="0.25">
      <c r="A131" s="21"/>
      <c r="B131" s="42"/>
      <c r="C131" s="26" t="e">
        <f>+VLOOKUP(tblMasuk[[#This Row],[Kode Barang]],tblKatalog[],2)</f>
        <v>#N/A</v>
      </c>
      <c r="D131" s="26" t="e">
        <f>+VLOOKUP(tblMasuk[[#This Row],[Kode Barang]],tblKatalog[],3)</f>
        <v>#N/A</v>
      </c>
      <c r="E131" s="14"/>
      <c r="H131" s="34" t="s">
        <v>365</v>
      </c>
      <c r="I131" s="34" t="str">
        <f>+VLOOKUP(H131,tblKatalog[],2)</f>
        <v>Fargo DTC 1000 Color Ribbon</v>
      </c>
      <c r="J131" s="35">
        <f>+SUMIF($B$7:$B$999787,"GAA125",E$7:$E$999787)</f>
        <v>0</v>
      </c>
    </row>
    <row r="132" spans="1:10" x14ac:dyDescent="0.25">
      <c r="A132" s="21"/>
      <c r="B132" s="42"/>
      <c r="C132" s="26" t="e">
        <f>+VLOOKUP(tblMasuk[[#This Row],[Kode Barang]],tblKatalog[],2)</f>
        <v>#N/A</v>
      </c>
      <c r="D132" s="26" t="e">
        <f>+VLOOKUP(tblMasuk[[#This Row],[Kode Barang]],tblKatalog[],3)</f>
        <v>#N/A</v>
      </c>
      <c r="E132" s="14"/>
      <c r="H132" s="34" t="s">
        <v>367</v>
      </c>
      <c r="I132" s="34" t="str">
        <f>+VLOOKUP(H132,tblKatalog[],2)</f>
        <v>Whiteboard</v>
      </c>
      <c r="J132" s="35">
        <f>+SUMIF($B$7:$B$999787,"GAA126",E$7:$E$999787)</f>
        <v>0</v>
      </c>
    </row>
    <row r="133" spans="1:10" x14ac:dyDescent="0.25">
      <c r="A133" s="21"/>
      <c r="B133" s="42"/>
      <c r="C133" s="26" t="e">
        <f>+VLOOKUP(tblMasuk[[#This Row],[Kode Barang]],tblKatalog[],2)</f>
        <v>#N/A</v>
      </c>
      <c r="D133" s="26" t="e">
        <f>+VLOOKUP(tblMasuk[[#This Row],[Kode Barang]],tblKatalog[],3)</f>
        <v>#N/A</v>
      </c>
      <c r="E133" s="14"/>
      <c r="H133" s="34" t="s">
        <v>370</v>
      </c>
      <c r="I133" s="34" t="str">
        <f>+VLOOKUP(H133,tblKatalog[],2)</f>
        <v>Name Card Holder</v>
      </c>
      <c r="J133" s="35">
        <f>+SUMIF($B$7:$B$999787,"GAA127",E$7:$E$999787)</f>
        <v>0</v>
      </c>
    </row>
    <row r="134" spans="1:10" x14ac:dyDescent="0.25">
      <c r="A134" s="21"/>
      <c r="B134" s="42"/>
      <c r="C134" s="26" t="e">
        <f>+VLOOKUP(tblMasuk[[#This Row],[Kode Barang]],tblKatalog[],2)</f>
        <v>#N/A</v>
      </c>
      <c r="D134" s="26" t="e">
        <f>+VLOOKUP(tblMasuk[[#This Row],[Kode Barang]],tblKatalog[],3)</f>
        <v>#N/A</v>
      </c>
      <c r="E134" s="14"/>
      <c r="H134" s="34" t="s">
        <v>374</v>
      </c>
      <c r="I134" s="34" t="str">
        <f>+VLOOKUP(H134,tblKatalog[],2)</f>
        <v>Penghapus Pensil</v>
      </c>
      <c r="J134" s="35">
        <f>+SUMIF($B$7:$B$999787,"GAA128",E$7:$E$999787)</f>
        <v>3</v>
      </c>
    </row>
    <row r="135" spans="1:10" x14ac:dyDescent="0.25">
      <c r="A135" s="21"/>
      <c r="B135" s="42"/>
      <c r="C135" s="26" t="e">
        <f>+VLOOKUP(tblMasuk[[#This Row],[Kode Barang]],tblKatalog[],2)</f>
        <v>#N/A</v>
      </c>
      <c r="D135" s="26" t="e">
        <f>+VLOOKUP(tblMasuk[[#This Row],[Kode Barang]],tblKatalog[],3)</f>
        <v>#N/A</v>
      </c>
      <c r="E135" s="14"/>
      <c r="H135" s="34" t="s">
        <v>377</v>
      </c>
      <c r="I135" s="34" t="str">
        <f>+VLOOKUP(H135,tblKatalog[],2)</f>
        <v>Binder Clips@No.111</v>
      </c>
      <c r="J135" s="35">
        <f>+SUMIF($B$7:$B$999787,"GAA129",E$7:$E$999787)</f>
        <v>1</v>
      </c>
    </row>
    <row r="136" spans="1:10" x14ac:dyDescent="0.25">
      <c r="A136" s="21"/>
      <c r="B136" s="42"/>
      <c r="C136" s="26" t="e">
        <f>+VLOOKUP(tblMasuk[[#This Row],[Kode Barang]],tblKatalog[],2)</f>
        <v>#N/A</v>
      </c>
      <c r="D136" s="26" t="e">
        <f>+VLOOKUP(tblMasuk[[#This Row],[Kode Barang]],tblKatalog[],3)</f>
        <v>#N/A</v>
      </c>
      <c r="E136" s="14"/>
      <c r="H136" s="34" t="s">
        <v>379</v>
      </c>
      <c r="I136" s="34" t="str">
        <f>+VLOOKUP(H136,tblKatalog[],2)</f>
        <v>Kertas Folio A4</v>
      </c>
      <c r="J136" s="35">
        <f>+SUMIF($B$7:$B$999787,"GAA130",E$7:$E$999787)</f>
        <v>0</v>
      </c>
    </row>
    <row r="137" spans="1:10" x14ac:dyDescent="0.25">
      <c r="A137" s="21"/>
      <c r="B137" s="42"/>
      <c r="C137" s="26" t="e">
        <f>+VLOOKUP(tblMasuk[[#This Row],[Kode Barang]],tblKatalog[],2)</f>
        <v>#N/A</v>
      </c>
      <c r="D137" s="26" t="e">
        <f>+VLOOKUP(tblMasuk[[#This Row],[Kode Barang]],tblKatalog[],3)</f>
        <v>#N/A</v>
      </c>
      <c r="E137" s="14"/>
      <c r="H137" s="34" t="s">
        <v>381</v>
      </c>
      <c r="I137" s="34" t="str">
        <f>+VLOOKUP(H137,tblKatalog[],2)</f>
        <v>Plastic Bantex</v>
      </c>
      <c r="J137" s="35">
        <f>+SUMIF($B$7:$B$999787,"GAA131",E$7:$E$999787)</f>
        <v>0</v>
      </c>
    </row>
    <row r="138" spans="1:10" x14ac:dyDescent="0.25">
      <c r="A138" s="21"/>
      <c r="B138" s="42"/>
      <c r="C138" s="26" t="e">
        <f>+VLOOKUP(tblMasuk[[#This Row],[Kode Barang]],tblKatalog[],2)</f>
        <v>#N/A</v>
      </c>
      <c r="D138" s="26" t="e">
        <f>+VLOOKUP(tblMasuk[[#This Row],[Kode Barang]],tblKatalog[],3)</f>
        <v>#N/A</v>
      </c>
      <c r="E138" s="14"/>
      <c r="H138" s="34" t="s">
        <v>383</v>
      </c>
      <c r="I138" s="34" t="str">
        <f>+VLOOKUP(H138,tblKatalog[],2)</f>
        <v>Transparent Sticker A4</v>
      </c>
      <c r="J138" s="35">
        <f>+SUMIF($B$7:$B$999787,"GAA132",E$7:$E$999787)</f>
        <v>0</v>
      </c>
    </row>
    <row r="139" spans="1:10" x14ac:dyDescent="0.25">
      <c r="A139" s="21"/>
      <c r="B139" s="42"/>
      <c r="C139" s="26" t="e">
        <f>+VLOOKUP(tblMasuk[[#This Row],[Kode Barang]],tblKatalog[],2)</f>
        <v>#N/A</v>
      </c>
      <c r="D139" s="26" t="e">
        <f>+VLOOKUP(tblMasuk[[#This Row],[Kode Barang]],tblKatalog[],3)</f>
        <v>#N/A</v>
      </c>
      <c r="E139" s="14"/>
      <c r="H139" s="34" t="s">
        <v>385</v>
      </c>
      <c r="I139" s="34" t="str">
        <f>+VLOOKUP(H139,tblKatalog[],2)</f>
        <v xml:space="preserve">Double Tape 3M </v>
      </c>
      <c r="J139" s="35">
        <f>+SUMIF($B$7:$B$999787,"GAA133",E$7:$E$999787)</f>
        <v>0</v>
      </c>
    </row>
    <row r="140" spans="1:10" x14ac:dyDescent="0.25">
      <c r="A140" s="21"/>
      <c r="B140" s="42"/>
      <c r="C140" s="26" t="e">
        <f>+VLOOKUP(tblMasuk[[#This Row],[Kode Barang]],tblKatalog[],2)</f>
        <v>#N/A</v>
      </c>
      <c r="D140" s="26" t="e">
        <f>+VLOOKUP(tblMasuk[[#This Row],[Kode Barang]],tblKatalog[],3)</f>
        <v>#N/A</v>
      </c>
      <c r="E140" s="14"/>
      <c r="H140" s="34" t="s">
        <v>388</v>
      </c>
      <c r="I140" s="34" t="str">
        <f>+VLOOKUP(H140,tblKatalog[],2)</f>
        <v>Battery AA Rechargeable</v>
      </c>
      <c r="J140" s="35">
        <f>+SUMIF($B$7:$B$999787,"GAA134",E$7:$E$999787)</f>
        <v>0</v>
      </c>
    </row>
    <row r="141" spans="1:10" x14ac:dyDescent="0.25">
      <c r="A141" s="21"/>
      <c r="B141" s="42"/>
      <c r="C141" s="26" t="e">
        <f>+VLOOKUP(tblMasuk[[#This Row],[Kode Barang]],tblKatalog[],2)</f>
        <v>#N/A</v>
      </c>
      <c r="D141" s="26" t="e">
        <f>+VLOOKUP(tblMasuk[[#This Row],[Kode Barang]],tblKatalog[],3)</f>
        <v>#N/A</v>
      </c>
      <c r="E141" s="14"/>
      <c r="H141" s="34" t="s">
        <v>389</v>
      </c>
      <c r="I141" s="34" t="str">
        <f>+VLOOKUP(H141,tblKatalog[],2)</f>
        <v>Battery AAA Rechargeable</v>
      </c>
      <c r="J141" s="35">
        <f>+SUMIF($B$7:$B$999787,"GAA135",E$7:$E$999787)</f>
        <v>0</v>
      </c>
    </row>
    <row r="142" spans="1:10" x14ac:dyDescent="0.25">
      <c r="A142" s="21"/>
      <c r="B142" s="42"/>
      <c r="C142" s="26" t="e">
        <f>+VLOOKUP(tblMasuk[[#This Row],[Kode Barang]],tblKatalog[],2)</f>
        <v>#N/A</v>
      </c>
      <c r="D142" s="26" t="e">
        <f>+VLOOKUP(tblMasuk[[#This Row],[Kode Barang]],tblKatalog[],3)</f>
        <v>#N/A</v>
      </c>
      <c r="E142" s="14"/>
      <c r="H142" s="34" t="s">
        <v>392</v>
      </c>
      <c r="I142" s="34" t="str">
        <f>+VLOOKUP(H142,tblKatalog[],2)</f>
        <v>Lem Dextone Instant Glue</v>
      </c>
      <c r="J142" s="35">
        <f>+SUMIF($B$7:$B$999787,"GAA136",E$7:$E$999787)</f>
        <v>0</v>
      </c>
    </row>
    <row r="143" spans="1:10" x14ac:dyDescent="0.25">
      <c r="A143" s="21"/>
      <c r="B143" s="42"/>
      <c r="C143" s="26" t="e">
        <f>+VLOOKUP(tblMasuk[[#This Row],[Kode Barang]],tblKatalog[],2)</f>
        <v>#N/A</v>
      </c>
      <c r="D143" s="26" t="e">
        <f>+VLOOKUP(tblMasuk[[#This Row],[Kode Barang]],tblKatalog[],3)</f>
        <v>#N/A</v>
      </c>
      <c r="E143" s="14"/>
      <c r="H143" s="34" t="s">
        <v>395</v>
      </c>
      <c r="I143" s="34" t="str">
        <f>+VLOOKUP(H143,tblKatalog[],2)</f>
        <v>Scotch Electrical Tape Super 33+</v>
      </c>
      <c r="J143" s="35">
        <f>+SUMIF($B$7:$B$999787,"GAA137",E$7:$E$999787)</f>
        <v>0</v>
      </c>
    </row>
    <row r="144" spans="1:10" x14ac:dyDescent="0.25">
      <c r="A144" s="21"/>
      <c r="B144" s="42"/>
      <c r="C144" s="26" t="e">
        <f>+VLOOKUP(tblMasuk[[#This Row],[Kode Barang]],tblKatalog[],2)</f>
        <v>#N/A</v>
      </c>
      <c r="D144" s="26" t="e">
        <f>+VLOOKUP(tblMasuk[[#This Row],[Kode Barang]],tblKatalog[],3)</f>
        <v>#N/A</v>
      </c>
      <c r="E144" s="14"/>
      <c r="H144" s="34" t="s">
        <v>398</v>
      </c>
      <c r="I144" s="34" t="str">
        <f>+VLOOKUP(H144,tblKatalog[],2)</f>
        <v>Post It Jumbo</v>
      </c>
      <c r="J144" s="35">
        <f>+SUMIF($B$7:$B$999787,"GAA138",E$7:$E$999787)</f>
        <v>0</v>
      </c>
    </row>
    <row r="145" spans="1:10" x14ac:dyDescent="0.25">
      <c r="A145" s="21"/>
      <c r="B145" s="42"/>
      <c r="C145" s="26" t="e">
        <f>+VLOOKUP(tblMasuk[[#This Row],[Kode Barang]],tblKatalog[],2)</f>
        <v>#N/A</v>
      </c>
      <c r="D145" s="26" t="e">
        <f>+VLOOKUP(tblMasuk[[#This Row],[Kode Barang]],tblKatalog[],3)</f>
        <v>#N/A</v>
      </c>
      <c r="E145" s="14"/>
      <c r="H145" s="34" t="s">
        <v>401</v>
      </c>
      <c r="I145" s="34" t="str">
        <f>+VLOOKUP(H145,tblKatalog[],2)</f>
        <v>Super Glossy Photo Paper A4</v>
      </c>
      <c r="J145" s="35">
        <f>+SUMIF($B$7:$B$999787,"GAA139",E$7:$E$999787)</f>
        <v>0</v>
      </c>
    </row>
    <row r="146" spans="1:10" x14ac:dyDescent="0.25">
      <c r="A146" s="21"/>
      <c r="B146" s="42"/>
      <c r="C146" s="26" t="e">
        <f>+VLOOKUP(tblMasuk[[#This Row],[Kode Barang]],tblKatalog[],2)</f>
        <v>#N/A</v>
      </c>
      <c r="D146" s="26" t="e">
        <f>+VLOOKUP(tblMasuk[[#This Row],[Kode Barang]],tblKatalog[],3)</f>
        <v>#N/A</v>
      </c>
      <c r="E146" s="14"/>
      <c r="H146" s="34" t="s">
        <v>406</v>
      </c>
      <c r="I146" s="34" t="str">
        <f>+VLOOKUP(H146,tblKatalog[],2)</f>
        <v>Papan Scanner</v>
      </c>
      <c r="J146" s="35">
        <f>+SUMIF($B$7:$B$999787,"GAA140",E$7:$E$999787)</f>
        <v>0</v>
      </c>
    </row>
    <row r="147" spans="1:10" x14ac:dyDescent="0.25">
      <c r="A147" s="21"/>
      <c r="B147" s="42"/>
      <c r="C147" s="26" t="e">
        <f>+VLOOKUP(tblMasuk[[#This Row],[Kode Barang]],tblKatalog[],2)</f>
        <v>#N/A</v>
      </c>
      <c r="D147" s="26" t="e">
        <f>+VLOOKUP(tblMasuk[[#This Row],[Kode Barang]],tblKatalog[],3)</f>
        <v>#N/A</v>
      </c>
      <c r="E147" s="14"/>
      <c r="H147" s="34" t="s">
        <v>409</v>
      </c>
      <c r="I147" s="34" t="str">
        <f>+VLOOKUP(H147,tblKatalog[],2)</f>
        <v>Spidol 12 Colour</v>
      </c>
      <c r="J147" s="35">
        <f>+SUMIF($B$7:$B$999787,"GAA141",E$7:$E$999787)</f>
        <v>0</v>
      </c>
    </row>
    <row r="148" spans="1:10" x14ac:dyDescent="0.25">
      <c r="A148" s="21"/>
      <c r="B148" s="42"/>
      <c r="C148" s="26" t="e">
        <f>+VLOOKUP(tblMasuk[[#This Row],[Kode Barang]],tblKatalog[],2)</f>
        <v>#N/A</v>
      </c>
      <c r="D148" s="26" t="e">
        <f>+VLOOKUP(tblMasuk[[#This Row],[Kode Barang]],tblKatalog[],3)</f>
        <v>#N/A</v>
      </c>
      <c r="E148" s="14"/>
      <c r="H148" s="34" t="s">
        <v>412</v>
      </c>
      <c r="I148" s="34" t="str">
        <f>+VLOOKUP(H148,tblKatalog[],2)</f>
        <v>Amplop Coklat Polos</v>
      </c>
      <c r="J148" s="35">
        <f>+SUMIF($B$7:$B$999787,"GAA142",E$7:$E$999787)</f>
        <v>0</v>
      </c>
    </row>
    <row r="149" spans="1:10" x14ac:dyDescent="0.25">
      <c r="A149" s="21"/>
      <c r="B149" s="42"/>
      <c r="C149" s="26" t="e">
        <f>+VLOOKUP(tblMasuk[[#This Row],[Kode Barang]],tblKatalog[],2)</f>
        <v>#N/A</v>
      </c>
      <c r="D149" s="26" t="e">
        <f>+VLOOKUP(tblMasuk[[#This Row],[Kode Barang]],tblKatalog[],3)</f>
        <v>#N/A</v>
      </c>
      <c r="E149" s="14"/>
      <c r="H149" s="34" t="s">
        <v>415</v>
      </c>
      <c r="I149" s="34" t="str">
        <f>+VLOOKUP(H149,tblKatalog[],2)</f>
        <v>Paper Tray</v>
      </c>
      <c r="J149" s="35">
        <f>+SUMIF($B$7:$B$999787,"GAA143",E$7:$E$999787)</f>
        <v>0</v>
      </c>
    </row>
    <row r="150" spans="1:10" x14ac:dyDescent="0.25">
      <c r="A150" s="21"/>
      <c r="B150" s="42"/>
      <c r="C150" s="26" t="e">
        <f>+VLOOKUP(tblMasuk[[#This Row],[Kode Barang]],tblKatalog[],2)</f>
        <v>#N/A</v>
      </c>
      <c r="D150" s="26" t="e">
        <f>+VLOOKUP(tblMasuk[[#This Row],[Kode Barang]],tblKatalog[],3)</f>
        <v>#N/A</v>
      </c>
      <c r="E150" s="14"/>
      <c r="H150" s="34" t="s">
        <v>416</v>
      </c>
      <c r="I150" s="34" t="str">
        <f>+VLOOKUP(H150,tblKatalog[],2)</f>
        <v>Desk Pen Holder</v>
      </c>
      <c r="J150" s="35">
        <f>+SUMIF($B$7:$B$999787,"GAA144",E$7:$E$999787)</f>
        <v>0</v>
      </c>
    </row>
    <row r="151" spans="1:10" x14ac:dyDescent="0.25">
      <c r="A151" s="21"/>
      <c r="B151" s="42"/>
      <c r="C151" s="26" t="e">
        <f>+VLOOKUP(tblMasuk[[#This Row],[Kode Barang]],tblKatalog[],2)</f>
        <v>#N/A</v>
      </c>
      <c r="D151" s="26" t="e">
        <f>+VLOOKUP(tblMasuk[[#This Row],[Kode Barang]],tblKatalog[],3)</f>
        <v>#N/A</v>
      </c>
      <c r="E151" s="14"/>
      <c r="H151" s="34" t="s">
        <v>420</v>
      </c>
      <c r="I151" s="34" t="str">
        <f>+VLOOKUP(H151,tblKatalog[],2)</f>
        <v>Kertas A4 80 Gram</v>
      </c>
      <c r="J151" s="35">
        <f>+SUMIF($B$7:$B$999787,"GAA145",E$7:$E$999787)</f>
        <v>0</v>
      </c>
    </row>
    <row r="152" spans="1:10" x14ac:dyDescent="0.25">
      <c r="A152" s="21"/>
      <c r="B152" s="42"/>
      <c r="C152" s="26" t="e">
        <f>+VLOOKUP(tblMasuk[[#This Row],[Kode Barang]],tblKatalog[],2)</f>
        <v>#N/A</v>
      </c>
      <c r="D152" s="26" t="e">
        <f>+VLOOKUP(tblMasuk[[#This Row],[Kode Barang]],tblKatalog[],3)</f>
        <v>#N/A</v>
      </c>
      <c r="E152" s="14"/>
      <c r="H152" s="34" t="s">
        <v>423</v>
      </c>
      <c r="I152" s="34" t="str">
        <f>+VLOOKUP(H152,tblKatalog[],2)</f>
        <v>Bantex Box File 4011 10 CM</v>
      </c>
      <c r="J152" s="35">
        <f>+SUMIF($B$7:$B$999787,"GAA146",E$7:$E$999787)</f>
        <v>0</v>
      </c>
    </row>
    <row r="153" spans="1:10" x14ac:dyDescent="0.25">
      <c r="A153" s="21"/>
      <c r="B153" s="42"/>
      <c r="C153" s="26" t="e">
        <f>+VLOOKUP(tblMasuk[[#This Row],[Kode Barang]],tblKatalog[],2)</f>
        <v>#N/A</v>
      </c>
      <c r="D153" s="26" t="e">
        <f>+VLOOKUP(tblMasuk[[#This Row],[Kode Barang]],tblKatalog[],3)</f>
        <v>#N/A</v>
      </c>
      <c r="E153" s="14"/>
    </row>
    <row r="154" spans="1:10" x14ac:dyDescent="0.25">
      <c r="A154" s="21"/>
      <c r="B154" s="42"/>
      <c r="C154" s="26" t="e">
        <f>+VLOOKUP(tblMasuk[[#This Row],[Kode Barang]],tblKatalog[],2)</f>
        <v>#N/A</v>
      </c>
      <c r="D154" s="26" t="e">
        <f>+VLOOKUP(tblMasuk[[#This Row],[Kode Barang]],tblKatalog[],3)</f>
        <v>#N/A</v>
      </c>
      <c r="E154" s="14"/>
    </row>
    <row r="155" spans="1:10" x14ac:dyDescent="0.25">
      <c r="A155" s="21"/>
      <c r="B155" s="42"/>
      <c r="C155" s="26" t="e">
        <f>+VLOOKUP(tblMasuk[[#This Row],[Kode Barang]],tblKatalog[],2)</f>
        <v>#N/A</v>
      </c>
      <c r="D155" s="26" t="e">
        <f>+VLOOKUP(tblMasuk[[#This Row],[Kode Barang]],tblKatalog[],3)</f>
        <v>#N/A</v>
      </c>
      <c r="E155" s="14"/>
    </row>
    <row r="156" spans="1:10" x14ac:dyDescent="0.25">
      <c r="A156" s="21"/>
      <c r="B156" s="42"/>
      <c r="C156" s="26" t="e">
        <f>+VLOOKUP(tblMasuk[[#This Row],[Kode Barang]],tblKatalog[],2)</f>
        <v>#N/A</v>
      </c>
      <c r="D156" s="26" t="e">
        <f>+VLOOKUP(tblMasuk[[#This Row],[Kode Barang]],tblKatalog[],3)</f>
        <v>#N/A</v>
      </c>
      <c r="E156" s="14"/>
    </row>
    <row r="157" spans="1:10" x14ac:dyDescent="0.25">
      <c r="A157" s="21"/>
      <c r="B157" s="42"/>
      <c r="C157" s="26" t="e">
        <f>+VLOOKUP(tblMasuk[[#This Row],[Kode Barang]],tblKatalog[],2)</f>
        <v>#N/A</v>
      </c>
      <c r="D157" s="26" t="e">
        <f>+VLOOKUP(tblMasuk[[#This Row],[Kode Barang]],tblKatalog[],3)</f>
        <v>#N/A</v>
      </c>
      <c r="E157" s="14"/>
    </row>
    <row r="158" spans="1:10" x14ac:dyDescent="0.25">
      <c r="A158" s="21"/>
      <c r="B158" s="42"/>
      <c r="C158" s="26" t="e">
        <f>+VLOOKUP(tblMasuk[[#This Row],[Kode Barang]],tblKatalog[],2)</f>
        <v>#N/A</v>
      </c>
      <c r="D158" s="26" t="e">
        <f>+VLOOKUP(tblMasuk[[#This Row],[Kode Barang]],tblKatalog[],3)</f>
        <v>#N/A</v>
      </c>
      <c r="E158" s="14"/>
    </row>
    <row r="159" spans="1:10" x14ac:dyDescent="0.25">
      <c r="A159" s="21"/>
      <c r="B159" s="42"/>
      <c r="C159" s="26" t="e">
        <f>+VLOOKUP(tblMasuk[[#This Row],[Kode Barang]],tblKatalog[],2)</f>
        <v>#N/A</v>
      </c>
      <c r="D159" s="26" t="e">
        <f>+VLOOKUP(tblMasuk[[#This Row],[Kode Barang]],tblKatalog[],3)</f>
        <v>#N/A</v>
      </c>
      <c r="E159" s="14"/>
    </row>
    <row r="160" spans="1:10" x14ac:dyDescent="0.25">
      <c r="A160" s="21"/>
      <c r="B160" s="42"/>
      <c r="C160" s="26" t="e">
        <f>+VLOOKUP(tblMasuk[[#This Row],[Kode Barang]],tblKatalog[],2)</f>
        <v>#N/A</v>
      </c>
      <c r="D160" s="26" t="e">
        <f>+VLOOKUP(tblMasuk[[#This Row],[Kode Barang]],tblKatalog[],3)</f>
        <v>#N/A</v>
      </c>
      <c r="E160" s="14"/>
    </row>
    <row r="161" spans="1:5" x14ac:dyDescent="0.25">
      <c r="A161" s="21"/>
      <c r="B161" s="42"/>
      <c r="C161" s="26" t="e">
        <f>+VLOOKUP(tblMasuk[[#This Row],[Kode Barang]],tblKatalog[],2)</f>
        <v>#N/A</v>
      </c>
      <c r="D161" s="26" t="e">
        <f>+VLOOKUP(tblMasuk[[#This Row],[Kode Barang]],tblKatalog[],3)</f>
        <v>#N/A</v>
      </c>
      <c r="E161" s="14"/>
    </row>
    <row r="162" spans="1:5" x14ac:dyDescent="0.25">
      <c r="A162" s="21"/>
      <c r="B162" s="42"/>
      <c r="C162" s="26" t="e">
        <f>+VLOOKUP(tblMasuk[[#This Row],[Kode Barang]],tblKatalog[],2)</f>
        <v>#N/A</v>
      </c>
      <c r="D162" s="26" t="e">
        <f>+VLOOKUP(tblMasuk[[#This Row],[Kode Barang]],tblKatalog[],3)</f>
        <v>#N/A</v>
      </c>
      <c r="E162" s="14"/>
    </row>
    <row r="163" spans="1:5" x14ac:dyDescent="0.25">
      <c r="A163" s="21"/>
      <c r="B163" s="42"/>
      <c r="C163" s="26" t="e">
        <f>+VLOOKUP(tblMasuk[[#This Row],[Kode Barang]],tblKatalog[],2)</f>
        <v>#N/A</v>
      </c>
      <c r="D163" s="26" t="e">
        <f>+VLOOKUP(tblMasuk[[#This Row],[Kode Barang]],tblKatalog[],3)</f>
        <v>#N/A</v>
      </c>
      <c r="E163" s="14"/>
    </row>
    <row r="164" spans="1:5" x14ac:dyDescent="0.25">
      <c r="A164" s="21"/>
      <c r="B164" s="42"/>
      <c r="C164" s="26" t="e">
        <f>+VLOOKUP(tblMasuk[[#This Row],[Kode Barang]],tblKatalog[],2)</f>
        <v>#N/A</v>
      </c>
      <c r="D164" s="26" t="e">
        <f>+VLOOKUP(tblMasuk[[#This Row],[Kode Barang]],tblKatalog[],3)</f>
        <v>#N/A</v>
      </c>
      <c r="E164" s="14"/>
    </row>
    <row r="165" spans="1:5" x14ac:dyDescent="0.25">
      <c r="A165" s="21"/>
      <c r="B165" s="42"/>
      <c r="C165" s="26" t="e">
        <f>+VLOOKUP(tblMasuk[[#This Row],[Kode Barang]],tblKatalog[],2)</f>
        <v>#N/A</v>
      </c>
      <c r="D165" s="26" t="e">
        <f>+VLOOKUP(tblMasuk[[#This Row],[Kode Barang]],tblKatalog[],3)</f>
        <v>#N/A</v>
      </c>
      <c r="E165" s="14"/>
    </row>
    <row r="166" spans="1:5" x14ac:dyDescent="0.25">
      <c r="A166" s="21"/>
      <c r="B166" s="42"/>
      <c r="C166" s="26" t="e">
        <f>+VLOOKUP(tblMasuk[[#This Row],[Kode Barang]],tblKatalog[],2)</f>
        <v>#N/A</v>
      </c>
      <c r="D166" s="26" t="e">
        <f>+VLOOKUP(tblMasuk[[#This Row],[Kode Barang]],tblKatalog[],3)</f>
        <v>#N/A</v>
      </c>
      <c r="E166" s="14"/>
    </row>
    <row r="167" spans="1:5" x14ac:dyDescent="0.25">
      <c r="A167" s="21"/>
      <c r="B167" s="42"/>
      <c r="C167" s="26" t="e">
        <f>+VLOOKUP(tblMasuk[[#This Row],[Kode Barang]],tblKatalog[],2)</f>
        <v>#N/A</v>
      </c>
      <c r="D167" s="26" t="e">
        <f>+VLOOKUP(tblMasuk[[#This Row],[Kode Barang]],tblKatalog[],3)</f>
        <v>#N/A</v>
      </c>
      <c r="E167" s="14"/>
    </row>
    <row r="168" spans="1:5" x14ac:dyDescent="0.25">
      <c r="A168" s="21"/>
      <c r="B168" s="42"/>
      <c r="C168" s="26" t="e">
        <f>+VLOOKUP(tblMasuk[[#This Row],[Kode Barang]],tblKatalog[],2)</f>
        <v>#N/A</v>
      </c>
      <c r="D168" s="26" t="e">
        <f>+VLOOKUP(tblMasuk[[#This Row],[Kode Barang]],tblKatalog[],3)</f>
        <v>#N/A</v>
      </c>
      <c r="E168" s="14"/>
    </row>
    <row r="169" spans="1:5" x14ac:dyDescent="0.25">
      <c r="A169" s="21"/>
      <c r="B169" s="42"/>
      <c r="C169" s="26" t="e">
        <f>+VLOOKUP(tblMasuk[[#This Row],[Kode Barang]],tblKatalog[],2)</f>
        <v>#N/A</v>
      </c>
      <c r="D169" s="26" t="e">
        <f>+VLOOKUP(tblMasuk[[#This Row],[Kode Barang]],tblKatalog[],3)</f>
        <v>#N/A</v>
      </c>
      <c r="E169" s="14"/>
    </row>
    <row r="170" spans="1:5" x14ac:dyDescent="0.25">
      <c r="A170" s="21"/>
      <c r="B170" s="42"/>
      <c r="C170" s="26" t="e">
        <f>+VLOOKUP(tblMasuk[[#This Row],[Kode Barang]],tblKatalog[],2)</f>
        <v>#N/A</v>
      </c>
      <c r="D170" s="26" t="e">
        <f>+VLOOKUP(tblMasuk[[#This Row],[Kode Barang]],tblKatalog[],3)</f>
        <v>#N/A</v>
      </c>
      <c r="E170" s="14"/>
    </row>
    <row r="171" spans="1:5" x14ac:dyDescent="0.25">
      <c r="A171" s="21"/>
      <c r="B171" s="42"/>
      <c r="C171" s="26" t="e">
        <f>+VLOOKUP(tblMasuk[[#This Row],[Kode Barang]],tblKatalog[],2)</f>
        <v>#N/A</v>
      </c>
      <c r="D171" s="26" t="e">
        <f>+VLOOKUP(tblMasuk[[#This Row],[Kode Barang]],tblKatalog[],3)</f>
        <v>#N/A</v>
      </c>
      <c r="E171" s="14"/>
    </row>
    <row r="172" spans="1:5" x14ac:dyDescent="0.25">
      <c r="A172" s="21"/>
      <c r="B172" s="42"/>
      <c r="C172" s="26" t="e">
        <f>+VLOOKUP(tblMasuk[[#This Row],[Kode Barang]],tblKatalog[],2)</f>
        <v>#N/A</v>
      </c>
      <c r="D172" s="26" t="e">
        <f>+VLOOKUP(tblMasuk[[#This Row],[Kode Barang]],tblKatalog[],3)</f>
        <v>#N/A</v>
      </c>
      <c r="E172" s="14"/>
    </row>
    <row r="173" spans="1:5" x14ac:dyDescent="0.25">
      <c r="A173" s="21"/>
      <c r="B173" s="42"/>
      <c r="C173" s="26" t="e">
        <f>+VLOOKUP(tblMasuk[[#This Row],[Kode Barang]],tblKatalog[],2)</f>
        <v>#N/A</v>
      </c>
      <c r="D173" s="26" t="e">
        <f>+VLOOKUP(tblMasuk[[#This Row],[Kode Barang]],tblKatalog[],3)</f>
        <v>#N/A</v>
      </c>
      <c r="E173" s="14"/>
    </row>
    <row r="174" spans="1:5" x14ac:dyDescent="0.25">
      <c r="A174" s="21"/>
      <c r="B174" s="42"/>
      <c r="C174" s="26" t="e">
        <f>+VLOOKUP(tblMasuk[[#This Row],[Kode Barang]],tblKatalog[],2)</f>
        <v>#N/A</v>
      </c>
      <c r="D174" s="26" t="e">
        <f>+VLOOKUP(tblMasuk[[#This Row],[Kode Barang]],tblKatalog[],3)</f>
        <v>#N/A</v>
      </c>
      <c r="E174" s="14"/>
    </row>
    <row r="175" spans="1:5" x14ac:dyDescent="0.25">
      <c r="A175" s="21"/>
      <c r="B175" s="42"/>
      <c r="C175" s="26" t="e">
        <f>+VLOOKUP(tblMasuk[[#This Row],[Kode Barang]],tblKatalog[],2)</f>
        <v>#N/A</v>
      </c>
      <c r="D175" s="26" t="e">
        <f>+VLOOKUP(tblMasuk[[#This Row],[Kode Barang]],tblKatalog[],3)</f>
        <v>#N/A</v>
      </c>
      <c r="E175" s="14"/>
    </row>
    <row r="176" spans="1:5" x14ac:dyDescent="0.25">
      <c r="A176" s="21"/>
      <c r="B176" s="42"/>
      <c r="C176" s="26" t="e">
        <f>+VLOOKUP(tblMasuk[[#This Row],[Kode Barang]],tblKatalog[],2)</f>
        <v>#N/A</v>
      </c>
      <c r="D176" s="26" t="e">
        <f>+VLOOKUP(tblMasuk[[#This Row],[Kode Barang]],tblKatalog[],3)</f>
        <v>#N/A</v>
      </c>
      <c r="E176" s="14"/>
    </row>
    <row r="177" spans="1:5" x14ac:dyDescent="0.25">
      <c r="A177" s="21"/>
      <c r="B177" s="42"/>
      <c r="C177" s="26" t="e">
        <f>+VLOOKUP(tblMasuk[[#This Row],[Kode Barang]],tblKatalog[],2)</f>
        <v>#N/A</v>
      </c>
      <c r="D177" s="26" t="e">
        <f>+VLOOKUP(tblMasuk[[#This Row],[Kode Barang]],tblKatalog[],3)</f>
        <v>#N/A</v>
      </c>
      <c r="E177" s="14"/>
    </row>
    <row r="178" spans="1:5" x14ac:dyDescent="0.25">
      <c r="A178" s="21"/>
      <c r="B178" s="42"/>
      <c r="C178" s="26" t="e">
        <f>+VLOOKUP(tblMasuk[[#This Row],[Kode Barang]],tblKatalog[],2)</f>
        <v>#N/A</v>
      </c>
      <c r="D178" s="26" t="e">
        <f>+VLOOKUP(tblMasuk[[#This Row],[Kode Barang]],tblKatalog[],3)</f>
        <v>#N/A</v>
      </c>
      <c r="E178" s="14"/>
    </row>
    <row r="179" spans="1:5" x14ac:dyDescent="0.25">
      <c r="A179" s="21"/>
      <c r="B179" s="42"/>
      <c r="C179" s="26" t="e">
        <f>+VLOOKUP(tblMasuk[[#This Row],[Kode Barang]],tblKatalog[],2)</f>
        <v>#N/A</v>
      </c>
      <c r="D179" s="26" t="e">
        <f>+VLOOKUP(tblMasuk[[#This Row],[Kode Barang]],tblKatalog[],3)</f>
        <v>#N/A</v>
      </c>
      <c r="E179" s="14"/>
    </row>
    <row r="180" spans="1:5" x14ac:dyDescent="0.25">
      <c r="A180" s="21"/>
      <c r="B180" s="42"/>
      <c r="C180" s="26" t="e">
        <f>+VLOOKUP(tblMasuk[[#This Row],[Kode Barang]],tblKatalog[],2)</f>
        <v>#N/A</v>
      </c>
      <c r="D180" s="26" t="e">
        <f>+VLOOKUP(tblMasuk[[#This Row],[Kode Barang]],tblKatalog[],3)</f>
        <v>#N/A</v>
      </c>
      <c r="E180" s="14"/>
    </row>
    <row r="181" spans="1:5" x14ac:dyDescent="0.25">
      <c r="A181" s="21"/>
      <c r="B181" s="42"/>
      <c r="C181" s="26" t="e">
        <f>+VLOOKUP(tblMasuk[[#This Row],[Kode Barang]],tblKatalog[],2)</f>
        <v>#N/A</v>
      </c>
      <c r="D181" s="26" t="e">
        <f>+VLOOKUP(tblMasuk[[#This Row],[Kode Barang]],tblKatalog[],3)</f>
        <v>#N/A</v>
      </c>
      <c r="E181" s="14"/>
    </row>
    <row r="182" spans="1:5" x14ac:dyDescent="0.25">
      <c r="A182" s="21"/>
      <c r="B182" s="42"/>
      <c r="C182" s="26" t="e">
        <f>+VLOOKUP(tblMasuk[[#This Row],[Kode Barang]],tblKatalog[],2)</f>
        <v>#N/A</v>
      </c>
      <c r="D182" s="26" t="e">
        <f>+VLOOKUP(tblMasuk[[#This Row],[Kode Barang]],tblKatalog[],3)</f>
        <v>#N/A</v>
      </c>
      <c r="E182" s="14"/>
    </row>
    <row r="183" spans="1:5" x14ac:dyDescent="0.25">
      <c r="A183" s="21"/>
      <c r="B183" s="42"/>
      <c r="C183" s="26" t="e">
        <f>+VLOOKUP(tblMasuk[[#This Row],[Kode Barang]],tblKatalog[],2)</f>
        <v>#N/A</v>
      </c>
      <c r="D183" s="26" t="e">
        <f>+VLOOKUP(tblMasuk[[#This Row],[Kode Barang]],tblKatalog[],3)</f>
        <v>#N/A</v>
      </c>
      <c r="E183" s="14"/>
    </row>
    <row r="184" spans="1:5" x14ac:dyDescent="0.25">
      <c r="A184" s="21"/>
      <c r="B184" s="42"/>
      <c r="C184" s="26" t="e">
        <f>+VLOOKUP(tblMasuk[[#This Row],[Kode Barang]],tblKatalog[],2)</f>
        <v>#N/A</v>
      </c>
      <c r="D184" s="26" t="e">
        <f>+VLOOKUP(tblMasuk[[#This Row],[Kode Barang]],tblKatalog[],3)</f>
        <v>#N/A</v>
      </c>
      <c r="E184" s="14"/>
    </row>
  </sheetData>
  <mergeCells count="3">
    <mergeCell ref="A1:E3"/>
    <mergeCell ref="D5:E5"/>
    <mergeCell ref="H6:J6"/>
  </mergeCells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77"/>
  <sheetViews>
    <sheetView topLeftCell="A180" zoomScale="85" zoomScaleNormal="85" workbookViewId="0">
      <selection activeCell="F207" sqref="F207"/>
    </sheetView>
  </sheetViews>
  <sheetFormatPr defaultRowHeight="15" x14ac:dyDescent="0.25"/>
  <cols>
    <col min="1" max="1" width="14.140625" customWidth="1"/>
    <col min="2" max="2" width="14.85546875" customWidth="1"/>
    <col min="3" max="3" width="31.85546875" customWidth="1"/>
    <col min="4" max="4" width="28.42578125" customWidth="1"/>
    <col min="5" max="5" width="14.7109375" customWidth="1"/>
    <col min="6" max="6" width="15.7109375" style="15" customWidth="1"/>
    <col min="7" max="7" width="18.28515625" style="15" customWidth="1"/>
    <col min="9" max="9" width="1" style="20" customWidth="1"/>
    <col min="10" max="10" width="8.85546875" customWidth="1"/>
    <col min="11" max="11" width="27.7109375" customWidth="1"/>
  </cols>
  <sheetData>
    <row r="1" spans="1:12" s="2" customFormat="1" ht="15" customHeight="1" x14ac:dyDescent="0.25">
      <c r="A1" s="54" t="s">
        <v>44</v>
      </c>
      <c r="B1" s="54"/>
      <c r="C1" s="54"/>
      <c r="D1" s="54"/>
      <c r="E1" s="54"/>
      <c r="F1" s="54"/>
      <c r="G1" s="54"/>
      <c r="H1" s="9"/>
      <c r="I1" s="17"/>
      <c r="J1" s="9"/>
      <c r="K1" s="9"/>
      <c r="L1" s="9"/>
    </row>
    <row r="2" spans="1:12" s="2" customFormat="1" ht="15" customHeight="1" x14ac:dyDescent="0.25">
      <c r="A2" s="54"/>
      <c r="B2" s="54"/>
      <c r="C2" s="54"/>
      <c r="D2" s="54"/>
      <c r="E2" s="54"/>
      <c r="F2" s="54"/>
      <c r="G2" s="54"/>
      <c r="H2" s="9"/>
      <c r="I2" s="17"/>
      <c r="J2" s="9"/>
      <c r="K2" s="9"/>
      <c r="L2" s="9"/>
    </row>
    <row r="3" spans="1:12" s="2" customFormat="1" ht="15" customHeight="1" x14ac:dyDescent="0.25">
      <c r="A3" s="54"/>
      <c r="B3" s="54"/>
      <c r="C3" s="54"/>
      <c r="D3" s="54"/>
      <c r="E3" s="54"/>
      <c r="F3" s="54"/>
      <c r="G3" s="54"/>
      <c r="H3" s="9"/>
      <c r="I3" s="17"/>
      <c r="J3" s="9"/>
      <c r="K3" s="9"/>
      <c r="L3" s="9"/>
    </row>
    <row r="4" spans="1:12" s="2" customFormat="1" x14ac:dyDescent="0.25">
      <c r="A4" s="28" t="s">
        <v>11</v>
      </c>
      <c r="B4" s="28" t="s">
        <v>426</v>
      </c>
      <c r="C4" s="29"/>
      <c r="D4" s="29"/>
      <c r="E4" s="29"/>
      <c r="F4" s="29"/>
      <c r="G4" s="41" t="s">
        <v>448</v>
      </c>
      <c r="H4" s="10"/>
      <c r="I4" s="18"/>
      <c r="J4" s="10"/>
      <c r="K4" s="10"/>
      <c r="L4" s="10"/>
    </row>
    <row r="5" spans="1:12" s="2" customFormat="1" x14ac:dyDescent="0.25">
      <c r="A5" s="30" t="s">
        <v>13</v>
      </c>
      <c r="B5" s="31" t="s">
        <v>12</v>
      </c>
      <c r="C5" s="32"/>
      <c r="D5" s="55" t="s">
        <v>14</v>
      </c>
      <c r="E5" s="55"/>
      <c r="F5" s="55"/>
      <c r="G5" s="55"/>
      <c r="H5" s="11"/>
      <c r="I5" s="19"/>
      <c r="J5" s="11"/>
      <c r="K5" s="11"/>
      <c r="L5" s="11"/>
    </row>
    <row r="6" spans="1:12" x14ac:dyDescent="0.25">
      <c r="A6" s="1" t="s">
        <v>6</v>
      </c>
      <c r="B6" s="1" t="s">
        <v>0</v>
      </c>
      <c r="C6" s="1" t="s">
        <v>10</v>
      </c>
      <c r="D6" s="1" t="s">
        <v>1</v>
      </c>
      <c r="E6" s="1" t="s">
        <v>8</v>
      </c>
      <c r="F6" s="1" t="s">
        <v>15</v>
      </c>
      <c r="G6" s="1" t="s">
        <v>16</v>
      </c>
      <c r="J6" s="56" t="s">
        <v>17</v>
      </c>
      <c r="K6" s="56"/>
      <c r="L6" s="56"/>
    </row>
    <row r="7" spans="1:12" x14ac:dyDescent="0.25">
      <c r="A7" s="21">
        <v>46024</v>
      </c>
      <c r="B7" s="42" t="s">
        <v>108</v>
      </c>
      <c r="C7" s="26" t="str">
        <f>+VLOOKUP(tblKeluar[[#This Row],[Kode Barang]],tblKatalog[],2)</f>
        <v xml:space="preserve">Pulpen </v>
      </c>
      <c r="D7" s="26" t="str">
        <f>+VLOOKUP(tblKeluar[[#This Row],[Kode Barang]],tblKatalog[],3)</f>
        <v>Snowman @V-7</v>
      </c>
      <c r="E7" s="1">
        <v>1</v>
      </c>
      <c r="F7" s="23" t="s">
        <v>405</v>
      </c>
      <c r="G7" s="23" t="s">
        <v>443</v>
      </c>
      <c r="J7" s="24" t="s">
        <v>20</v>
      </c>
      <c r="K7" s="24" t="str">
        <f>+VLOOKUP(J7,tblKatalog[],2)</f>
        <v>Binder Clips@No.105</v>
      </c>
      <c r="L7" s="46">
        <f>+SUMIF($B$8:$B$999975,"GAA001",$E$8:G$999975)</f>
        <v>13</v>
      </c>
    </row>
    <row r="8" spans="1:12" x14ac:dyDescent="0.25">
      <c r="A8" s="21">
        <v>46027</v>
      </c>
      <c r="B8" s="42" t="s">
        <v>110</v>
      </c>
      <c r="C8" s="26" t="str">
        <f>+VLOOKUP(tblKeluar[[#This Row],[Kode Barang]],tblKatalog[],2)</f>
        <v>Kwitansi Kecil</v>
      </c>
      <c r="D8" s="26" t="str">
        <f>+VLOOKUP(tblKeluar[[#This Row],[Kode Barang]],tblKatalog[],3)</f>
        <v>Paperline @40 Sheets</v>
      </c>
      <c r="E8" s="1">
        <v>1</v>
      </c>
      <c r="F8" s="23" t="s">
        <v>405</v>
      </c>
      <c r="G8" s="23" t="s">
        <v>447</v>
      </c>
      <c r="J8" s="24" t="s">
        <v>21</v>
      </c>
      <c r="K8" s="24" t="str">
        <f>+VLOOKUP(J8,tblKatalog[],2)</f>
        <v>Binder Clips@No.200</v>
      </c>
      <c r="L8" s="46">
        <f>+SUMIF($B$8:$B$999975,"GAA002",$E$8:G$999975)</f>
        <v>13</v>
      </c>
    </row>
    <row r="9" spans="1:12" x14ac:dyDescent="0.25">
      <c r="A9" s="21">
        <v>46028</v>
      </c>
      <c r="B9" s="42" t="s">
        <v>28</v>
      </c>
      <c r="C9" s="26" t="str">
        <f>+VLOOKUP(tblKeluar[[#This Row],[Kode Barang]],tblKatalog[],2)</f>
        <v>Lakban Coklat Besar</v>
      </c>
      <c r="D9" s="26" t="str">
        <f>+VLOOKUP(tblKeluar[[#This Row],[Kode Barang]],tblKatalog[],3)</f>
        <v>Daimaru @48mm</v>
      </c>
      <c r="E9" s="1">
        <v>1</v>
      </c>
      <c r="F9" s="23" t="s">
        <v>405</v>
      </c>
      <c r="G9" s="23" t="s">
        <v>444</v>
      </c>
      <c r="J9" s="24" t="s">
        <v>22</v>
      </c>
      <c r="K9" s="24" t="str">
        <f>+VLOOKUP(J9,tblKatalog[],2)</f>
        <v>Binder Clips@No.107</v>
      </c>
      <c r="L9" s="46">
        <f>+SUMIF($B$8:$B$999975,"GAA003",$E$8:G$999975)</f>
        <v>0</v>
      </c>
    </row>
    <row r="10" spans="1:12" x14ac:dyDescent="0.25">
      <c r="A10" s="21">
        <v>46028</v>
      </c>
      <c r="B10" s="42" t="s">
        <v>29</v>
      </c>
      <c r="C10" s="26" t="str">
        <f>+VLOOKUP(tblKeluar[[#This Row],[Kode Barang]],tblKatalog[],2)</f>
        <v>Lakban Bening Besar</v>
      </c>
      <c r="D10" s="26" t="str">
        <f>+VLOOKUP(tblKeluar[[#This Row],[Kode Barang]],tblKatalog[],3)</f>
        <v>Daimaru @48mm</v>
      </c>
      <c r="E10" s="1">
        <v>1</v>
      </c>
      <c r="F10" s="23" t="s">
        <v>405</v>
      </c>
      <c r="G10" s="23" t="s">
        <v>444</v>
      </c>
      <c r="J10" s="24" t="s">
        <v>23</v>
      </c>
      <c r="K10" s="24" t="str">
        <f>+VLOOKUP(J10,tblKatalog[],2)</f>
        <v>Glossy Photo Paper</v>
      </c>
      <c r="L10" s="46">
        <f>+SUMIF($B$8:$B$999975,"GAA004",$E$8:G$999975)</f>
        <v>3</v>
      </c>
    </row>
    <row r="11" spans="1:12" x14ac:dyDescent="0.25">
      <c r="A11" s="21">
        <v>46028</v>
      </c>
      <c r="B11" s="42" t="s">
        <v>285</v>
      </c>
      <c r="C11" s="26" t="str">
        <f>+VLOOKUP(tblKeluar[[#This Row],[Kode Barang]],tblKatalog[],2)</f>
        <v>Nota 1 Ply</v>
      </c>
      <c r="D11" s="26" t="str">
        <f>+VLOOKUP(tblKeluar[[#This Row],[Kode Barang]],tblKatalog[],3)</f>
        <v>Paperline @108x155 mm</v>
      </c>
      <c r="E11" s="1">
        <v>1</v>
      </c>
      <c r="F11" s="23" t="s">
        <v>405</v>
      </c>
      <c r="G11" s="23" t="s">
        <v>444</v>
      </c>
      <c r="J11" s="24" t="s">
        <v>24</v>
      </c>
      <c r="K11" s="24" t="str">
        <f>+VLOOKUP(J11,tblKatalog[],2)</f>
        <v>Amplop Coklat F4</v>
      </c>
      <c r="L11" s="46">
        <f>+SUMIF($B$8:$B$999975,"GAA005",$E$8:G$999975)</f>
        <v>2</v>
      </c>
    </row>
    <row r="12" spans="1:12" ht="15.75" customHeight="1" x14ac:dyDescent="0.25">
      <c r="A12" s="21">
        <v>46028</v>
      </c>
      <c r="B12" s="42" t="s">
        <v>29</v>
      </c>
      <c r="C12" s="26" t="str">
        <f>+VLOOKUP(tblKeluar[[#This Row],[Kode Barang]],tblKatalog[],2)</f>
        <v>Lakban Bening Besar</v>
      </c>
      <c r="D12" s="26" t="str">
        <f>+VLOOKUP(tblKeluar[[#This Row],[Kode Barang]],tblKatalog[],3)</f>
        <v>Daimaru @48mm</v>
      </c>
      <c r="E12" s="1">
        <v>1</v>
      </c>
      <c r="F12" s="23" t="s">
        <v>228</v>
      </c>
      <c r="G12" s="23" t="s">
        <v>446</v>
      </c>
      <c r="J12" s="24" t="s">
        <v>25</v>
      </c>
      <c r="K12" s="24" t="str">
        <f>+VLOOKUP(J12,tblKatalog[],2)</f>
        <v>Map F4</v>
      </c>
      <c r="L12" s="46">
        <f>+SUMIF($B$8:$B$999975,"GAA006",$E$8:G$999975)</f>
        <v>17</v>
      </c>
    </row>
    <row r="13" spans="1:12" x14ac:dyDescent="0.25">
      <c r="A13" s="21">
        <v>46028</v>
      </c>
      <c r="B13" s="42" t="s">
        <v>147</v>
      </c>
      <c r="C13" s="26" t="str">
        <f>+VLOOKUP(tblKeluar[[#This Row],[Kode Barang]],tblKatalog[],2)</f>
        <v>Kertas A4 @70gr</v>
      </c>
      <c r="D13" s="26" t="str">
        <f>+VLOOKUP(tblKeluar[[#This Row],[Kode Barang]],tblKatalog[],3)</f>
        <v>Kiky @1 Rim</v>
      </c>
      <c r="E13" s="1">
        <v>43</v>
      </c>
      <c r="F13" s="23" t="s">
        <v>405</v>
      </c>
      <c r="G13" s="23" t="s">
        <v>443</v>
      </c>
      <c r="J13" s="24" t="s">
        <v>27</v>
      </c>
      <c r="K13" s="24" t="str">
        <f>+VLOOKUP(J13,tblKatalog[],2)</f>
        <v>Lakban Kertas Besar</v>
      </c>
      <c r="L13" s="46">
        <f>+SUMIF($B$8:$B$999975,"GAA008",$E$8:G$999975)</f>
        <v>5</v>
      </c>
    </row>
    <row r="14" spans="1:12" x14ac:dyDescent="0.25">
      <c r="A14" s="21">
        <v>46028</v>
      </c>
      <c r="B14" s="42" t="s">
        <v>27</v>
      </c>
      <c r="C14" s="26" t="str">
        <f>+VLOOKUP(tblKeluar[[#This Row],[Kode Barang]],tblKatalog[],2)</f>
        <v>Lakban Kertas Besar</v>
      </c>
      <c r="D14" s="26" t="str">
        <f>+VLOOKUP(tblKeluar[[#This Row],[Kode Barang]],tblKatalog[],3)</f>
        <v>Eka Tape @48mm</v>
      </c>
      <c r="E14" s="1">
        <v>1</v>
      </c>
      <c r="F14" s="23" t="s">
        <v>228</v>
      </c>
      <c r="G14" s="23" t="s">
        <v>446</v>
      </c>
      <c r="J14" s="24" t="s">
        <v>28</v>
      </c>
      <c r="K14" s="24" t="str">
        <f>+VLOOKUP(J14,tblKatalog[],2)</f>
        <v>Lakban Coklat Besar</v>
      </c>
      <c r="L14" s="46">
        <f>+SUMIF($B$8:$B$999975,"GAA009",$E$8:G$999975)</f>
        <v>31</v>
      </c>
    </row>
    <row r="15" spans="1:12" x14ac:dyDescent="0.25">
      <c r="A15" s="21">
        <v>46028</v>
      </c>
      <c r="B15" s="42" t="s">
        <v>147</v>
      </c>
      <c r="C15" s="26" t="str">
        <f>+VLOOKUP(tblKeluar[[#This Row],[Kode Barang]],tblKatalog[],2)</f>
        <v>Kertas A4 @70gr</v>
      </c>
      <c r="D15" s="26" t="str">
        <f>+VLOOKUP(tblKeluar[[#This Row],[Kode Barang]],tblKatalog[],3)</f>
        <v>Kiky @1 Rim</v>
      </c>
      <c r="E15" s="1">
        <v>1</v>
      </c>
      <c r="F15" s="23" t="s">
        <v>445</v>
      </c>
      <c r="G15" s="23" t="s">
        <v>449</v>
      </c>
      <c r="J15" s="24" t="s">
        <v>29</v>
      </c>
      <c r="K15" s="24" t="str">
        <f>+VLOOKUP(J15,tblKatalog[],2)</f>
        <v>Lakban Bening Besar</v>
      </c>
      <c r="L15" s="46">
        <f>+SUMIF($B$8:$B$999975,"GAA010",$E$8:G$999975)</f>
        <v>23</v>
      </c>
    </row>
    <row r="16" spans="1:12" x14ac:dyDescent="0.25">
      <c r="A16" s="21">
        <v>46029</v>
      </c>
      <c r="B16" s="42" t="s">
        <v>348</v>
      </c>
      <c r="C16" s="26" t="str">
        <f>+VLOOKUP(tblKeluar[[#This Row],[Kode Barang]],tblKatalog[],2)</f>
        <v>Pulpen Gel Hitam 0,5mm</v>
      </c>
      <c r="D16" s="26" t="str">
        <f>+VLOOKUP(tblKeluar[[#This Row],[Kode Barang]],tblKatalog[],3)</f>
        <v>Kenko @1box=12ea</v>
      </c>
      <c r="E16" s="1">
        <v>1</v>
      </c>
      <c r="F16" s="23" t="s">
        <v>405</v>
      </c>
      <c r="G16" s="23" t="s">
        <v>442</v>
      </c>
      <c r="J16" s="24" t="s">
        <v>30</v>
      </c>
      <c r="K16" s="24" t="str">
        <f>+VLOOKUP(J16,tblKatalog[],2)</f>
        <v>Mika Film</v>
      </c>
      <c r="L16" s="46">
        <f>+SUMIF($B$8:$B$999975,"GAA011",$E$8:G$999975)</f>
        <v>0</v>
      </c>
    </row>
    <row r="17" spans="1:12" x14ac:dyDescent="0.25">
      <c r="A17" s="21">
        <v>46043</v>
      </c>
      <c r="B17" s="42" t="s">
        <v>111</v>
      </c>
      <c r="C17" s="26" t="str">
        <f>+VLOOKUP(tblKeluar[[#This Row],[Kode Barang]],tblKatalog[],2)</f>
        <v>Baterai AAA ABC</v>
      </c>
      <c r="D17" s="26" t="str">
        <f>+VLOOKUP(tblKeluar[[#This Row],[Kode Barang]],tblKatalog[],3)</f>
        <v>ABC Alkaline</v>
      </c>
      <c r="E17" s="1">
        <v>4</v>
      </c>
      <c r="F17" s="23" t="s">
        <v>405</v>
      </c>
      <c r="G17" s="23" t="s">
        <v>443</v>
      </c>
      <c r="J17" s="24" t="s">
        <v>31</v>
      </c>
      <c r="K17" s="24" t="str">
        <f>+VLOOKUP(J17,tblKatalog[],2)</f>
        <v>Kertas Cover Buffalo Merah A4</v>
      </c>
      <c r="L17" s="46">
        <f>+SUMIF($B$8:$B$999975,"GAA012",$E$8:G$999975)</f>
        <v>0</v>
      </c>
    </row>
    <row r="18" spans="1:12" x14ac:dyDescent="0.25">
      <c r="A18" s="21">
        <v>46043</v>
      </c>
      <c r="B18" s="42" t="s">
        <v>28</v>
      </c>
      <c r="C18" s="26" t="str">
        <f>+VLOOKUP(tblKeluar[[#This Row],[Kode Barang]],tblKatalog[],2)</f>
        <v>Lakban Coklat Besar</v>
      </c>
      <c r="D18" s="26" t="str">
        <f>+VLOOKUP(tblKeluar[[#This Row],[Kode Barang]],tblKatalog[],3)</f>
        <v>Daimaru @48mm</v>
      </c>
      <c r="E18" s="1">
        <v>1</v>
      </c>
      <c r="F18" s="23" t="s">
        <v>405</v>
      </c>
      <c r="G18" s="23" t="s">
        <v>442</v>
      </c>
      <c r="J18" s="24" t="s">
        <v>32</v>
      </c>
      <c r="K18" s="24" t="str">
        <f>+VLOOKUP(J18,tblKatalog[],2)</f>
        <v>Kertas Karbon</v>
      </c>
      <c r="L18" s="46">
        <f>+SUMIF($B$8:$B$999975,"GAA013",$E$8:G$999975)</f>
        <v>0</v>
      </c>
    </row>
    <row r="19" spans="1:12" x14ac:dyDescent="0.25">
      <c r="A19" s="21">
        <v>46045</v>
      </c>
      <c r="B19" s="42" t="s">
        <v>147</v>
      </c>
      <c r="C19" s="26" t="str">
        <f>+VLOOKUP(tblKeluar[[#This Row],[Kode Barang]],tblKatalog[],2)</f>
        <v>Kertas A4 @70gr</v>
      </c>
      <c r="D19" s="26" t="str">
        <f>+VLOOKUP(tblKeluar[[#This Row],[Kode Barang]],tblKatalog[],3)</f>
        <v>Kiky @1 Rim</v>
      </c>
      <c r="E19" s="1">
        <v>1</v>
      </c>
      <c r="F19" s="23" t="s">
        <v>228</v>
      </c>
      <c r="G19" s="23" t="s">
        <v>450</v>
      </c>
      <c r="J19" s="24" t="s">
        <v>33</v>
      </c>
      <c r="K19" s="24" t="str">
        <f>+VLOOKUP(J19,tblKatalog[],2)</f>
        <v>Laminating Film</v>
      </c>
      <c r="L19" s="46">
        <f>+SUMIF($B$8:$B$999975,"GAA014",$E$8:G$999975)</f>
        <v>0</v>
      </c>
    </row>
    <row r="20" spans="1:12" x14ac:dyDescent="0.25">
      <c r="A20" s="21">
        <v>46048</v>
      </c>
      <c r="B20" s="42" t="s">
        <v>348</v>
      </c>
      <c r="C20" s="26" t="str">
        <f>+VLOOKUP(tblKeluar[[#This Row],[Kode Barang]],tblKatalog[],2)</f>
        <v>Pulpen Gel Hitam 0,5mm</v>
      </c>
      <c r="D20" s="26" t="str">
        <f>+VLOOKUP(tblKeluar[[#This Row],[Kode Barang]],tblKatalog[],3)</f>
        <v>Kenko @1box=12ea</v>
      </c>
      <c r="E20" s="1">
        <v>1</v>
      </c>
      <c r="F20" s="23" t="s">
        <v>445</v>
      </c>
      <c r="G20" s="23" t="s">
        <v>451</v>
      </c>
      <c r="J20" s="24" t="s">
        <v>34</v>
      </c>
      <c r="K20" s="24" t="str">
        <f>+VLOOKUP(J20,tblKatalog[],2)</f>
        <v xml:space="preserve">Amplop Putih Polos </v>
      </c>
      <c r="L20" s="46">
        <f>+SUMIF($B$8:$B$999975,"GAA015",$E$8:G$999975)</f>
        <v>6</v>
      </c>
    </row>
    <row r="21" spans="1:12" x14ac:dyDescent="0.25">
      <c r="A21" s="21">
        <v>46048</v>
      </c>
      <c r="B21" s="42" t="s">
        <v>406</v>
      </c>
      <c r="C21" s="26" t="str">
        <f>+VLOOKUP(tblKeluar[[#This Row],[Kode Barang]],tblKatalog[],2)</f>
        <v>Papan Scanner</v>
      </c>
      <c r="D21" s="26" t="str">
        <f>+VLOOKUP(tblKeluar[[#This Row],[Kode Barang]],tblKatalog[],3)</f>
        <v>Papanscanner</v>
      </c>
      <c r="E21" s="1">
        <v>1</v>
      </c>
      <c r="F21" s="23" t="s">
        <v>405</v>
      </c>
      <c r="G21" s="23" t="s">
        <v>443</v>
      </c>
      <c r="J21" s="24" t="s">
        <v>35</v>
      </c>
      <c r="K21" s="24" t="str">
        <f>+VLOOKUP(J21,tblKatalog[],2)</f>
        <v>Amplop Putih ARKA</v>
      </c>
      <c r="L21" s="46">
        <f>+SUMIF($B$8:$B$999975,"GAA016",$E$8:G$999975)</f>
        <v>2</v>
      </c>
    </row>
    <row r="22" spans="1:12" x14ac:dyDescent="0.25">
      <c r="A22" s="21">
        <v>46048</v>
      </c>
      <c r="B22" s="42" t="s">
        <v>278</v>
      </c>
      <c r="C22" s="26" t="str">
        <f>+VLOOKUP(tblKeluar[[#This Row],[Kode Barang]],tblKatalog[],2)</f>
        <v>Pulpen 4 Warna</v>
      </c>
      <c r="D22" s="26" t="str">
        <f>+VLOOKUP(tblKeluar[[#This Row],[Kode Barang]],tblKatalog[],3)</f>
        <v>Snowman</v>
      </c>
      <c r="E22" s="1">
        <v>1</v>
      </c>
      <c r="F22" s="23" t="s">
        <v>405</v>
      </c>
      <c r="G22" s="23" t="s">
        <v>443</v>
      </c>
      <c r="J22" s="24" t="s">
        <v>36</v>
      </c>
      <c r="K22" s="24" t="str">
        <f>+VLOOKUP(J22,tblKatalog[],2)</f>
        <v>Pocket Note</v>
      </c>
      <c r="L22" s="46">
        <f>+SUMIF($B$8:$B$999975,"GAA017",$E$8:G$999975)</f>
        <v>1</v>
      </c>
    </row>
    <row r="23" spans="1:12" x14ac:dyDescent="0.25">
      <c r="A23" s="21">
        <v>46049</v>
      </c>
      <c r="B23" s="42" t="s">
        <v>105</v>
      </c>
      <c r="C23" s="26" t="str">
        <f>+VLOOKUP(tblKeluar[[#This Row],[Kode Barang]],tblKatalog[],2)</f>
        <v xml:space="preserve">Spidol Permanent Hitam </v>
      </c>
      <c r="D23" s="26" t="str">
        <f>+VLOOKUP(tblKeluar[[#This Row],[Kode Barang]],tblKatalog[],3)</f>
        <v>Snowman BG-12</v>
      </c>
      <c r="E23" s="1">
        <v>1</v>
      </c>
      <c r="F23" s="23" t="s">
        <v>405</v>
      </c>
      <c r="G23" s="23" t="s">
        <v>444</v>
      </c>
      <c r="J23" s="24" t="s">
        <v>37</v>
      </c>
      <c r="K23" s="24" t="str">
        <f>+VLOOKUP(J23,tblKatalog[],2)</f>
        <v>Isi Staples No. 10-1M</v>
      </c>
      <c r="L23" s="46">
        <f>+SUMIF($B$8:$B$999975,"GAA018",$E$8:G$999975)</f>
        <v>25</v>
      </c>
    </row>
    <row r="24" spans="1:12" x14ac:dyDescent="0.25">
      <c r="A24" s="21">
        <v>46049</v>
      </c>
      <c r="B24" s="42" t="s">
        <v>79</v>
      </c>
      <c r="C24" s="26" t="str">
        <f>+VLOOKUP(tblKeluar[[#This Row],[Kode Barang]],tblKatalog[],2)</f>
        <v>Spidol Whiteboard Marker Black</v>
      </c>
      <c r="D24" s="26" t="str">
        <f>+VLOOKUP(tblKeluar[[#This Row],[Kode Barang]],tblKatalog[],3)</f>
        <v>Snowman BG-12</v>
      </c>
      <c r="E24" s="1">
        <v>1</v>
      </c>
      <c r="F24" s="23" t="s">
        <v>405</v>
      </c>
      <c r="G24" s="23" t="s">
        <v>444</v>
      </c>
      <c r="J24" s="24" t="s">
        <v>38</v>
      </c>
      <c r="K24" s="24" t="str">
        <f>+VLOOKUP(J24,tblKatalog[],2)</f>
        <v>Stabilo Hijau</v>
      </c>
      <c r="L24" s="46">
        <f>+SUMIF($B$8:$B$999975,"GAA019",$E$8:G$999975)</f>
        <v>2</v>
      </c>
    </row>
    <row r="25" spans="1:12" x14ac:dyDescent="0.25">
      <c r="A25" s="21">
        <v>46050</v>
      </c>
      <c r="B25" s="42" t="s">
        <v>221</v>
      </c>
      <c r="C25" s="26" t="str">
        <f>+VLOOKUP(tblKeluar[[#This Row],[Kode Barang]],tblKatalog[],2)</f>
        <v>Baterai AA ABC</v>
      </c>
      <c r="D25" s="26" t="str">
        <f>+VLOOKUP(tblKeluar[[#This Row],[Kode Barang]],tblKatalog[],3)</f>
        <v>ABC Alkaline</v>
      </c>
      <c r="E25" s="1">
        <v>1</v>
      </c>
      <c r="F25" s="23" t="s">
        <v>405</v>
      </c>
      <c r="G25" s="23" t="s">
        <v>452</v>
      </c>
      <c r="J25" s="24" t="s">
        <v>39</v>
      </c>
      <c r="K25" s="24" t="str">
        <f>+VLOOKUP(J25,tblKatalog[],2)</f>
        <v xml:space="preserve">Stabilo Orange </v>
      </c>
      <c r="L25" s="46">
        <f>+SUMIF($B$8:$B$999975,"GAA020",$E$8:G$999975)</f>
        <v>4</v>
      </c>
    </row>
    <row r="26" spans="1:12" x14ac:dyDescent="0.25">
      <c r="A26" s="21">
        <v>46057</v>
      </c>
      <c r="B26" s="42" t="s">
        <v>348</v>
      </c>
      <c r="C26" s="26" t="str">
        <f>+VLOOKUP(tblKeluar[[#This Row],[Kode Barang]],tblKatalog[],2)</f>
        <v>Pulpen Gel Hitam 0,5mm</v>
      </c>
      <c r="D26" s="26" t="str">
        <f>+VLOOKUP(tblKeluar[[#This Row],[Kode Barang]],tblKatalog[],3)</f>
        <v>Kenko @1box=12ea</v>
      </c>
      <c r="E26" s="1">
        <v>1</v>
      </c>
      <c r="F26" s="23" t="s">
        <v>405</v>
      </c>
      <c r="G26" s="23" t="s">
        <v>442</v>
      </c>
      <c r="J26" s="24" t="s">
        <v>40</v>
      </c>
      <c r="K26" s="24" t="str">
        <f>+VLOOKUP(J26,tblKatalog[],2)</f>
        <v>Gunting Besar</v>
      </c>
      <c r="L26" s="46">
        <f>+SUMIF($B$8:$B$999975,"GAA021",$E$8:G$999975)</f>
        <v>0</v>
      </c>
    </row>
    <row r="27" spans="1:12" x14ac:dyDescent="0.25">
      <c r="A27" s="21">
        <v>46059</v>
      </c>
      <c r="B27" s="42" t="s">
        <v>278</v>
      </c>
      <c r="C27" s="26" t="str">
        <f>+VLOOKUP(tblKeluar[[#This Row],[Kode Barang]],tblKatalog[],2)</f>
        <v>Pulpen 4 Warna</v>
      </c>
      <c r="D27" s="26" t="str">
        <f>+VLOOKUP(tblKeluar[[#This Row],[Kode Barang]],tblKatalog[],3)</f>
        <v>Snowman</v>
      </c>
      <c r="E27" s="1">
        <v>1</v>
      </c>
      <c r="F27" s="23" t="s">
        <v>405</v>
      </c>
      <c r="G27" s="23" t="s">
        <v>443</v>
      </c>
      <c r="J27" s="24" t="s">
        <v>41</v>
      </c>
      <c r="K27" s="24" t="str">
        <f>+VLOOKUP(J27,tblKatalog[],2)</f>
        <v>Pensil</v>
      </c>
      <c r="L27" s="46">
        <f>+SUMIF($B$8:$B$999975,"GAA022",$E$8:G$999975)</f>
        <v>12</v>
      </c>
    </row>
    <row r="28" spans="1:12" x14ac:dyDescent="0.25">
      <c r="A28" s="21">
        <v>46062</v>
      </c>
      <c r="B28" s="42" t="s">
        <v>348</v>
      </c>
      <c r="C28" s="26" t="str">
        <f>+VLOOKUP(tblKeluar[[#This Row],[Kode Barang]],tblKatalog[],2)</f>
        <v>Pulpen Gel Hitam 0,5mm</v>
      </c>
      <c r="D28" s="26" t="str">
        <f>+VLOOKUP(tblKeluar[[#This Row],[Kode Barang]],tblKatalog[],3)</f>
        <v>Kenko @1box=12ea</v>
      </c>
      <c r="E28" s="1">
        <v>1</v>
      </c>
      <c r="F28" s="23" t="s">
        <v>405</v>
      </c>
      <c r="G28" s="23" t="s">
        <v>443</v>
      </c>
      <c r="J28" s="24" t="s">
        <v>70</v>
      </c>
      <c r="K28" s="24" t="str">
        <f>+VLOOKUP(J28,tblKatalog[],2)</f>
        <v>Notebook</v>
      </c>
      <c r="L28" s="46">
        <f>+SUMIF($B$8:$B$999975,"GAA023",$E$8:G$999975)</f>
        <v>5</v>
      </c>
    </row>
    <row r="29" spans="1:12" x14ac:dyDescent="0.25">
      <c r="A29" s="21">
        <v>46062</v>
      </c>
      <c r="B29" s="42" t="s">
        <v>111</v>
      </c>
      <c r="C29" s="26" t="str">
        <f>+VLOOKUP(tblKeluar[[#This Row],[Kode Barang]],tblKatalog[],2)</f>
        <v>Baterai AAA ABC</v>
      </c>
      <c r="D29" s="26" t="str">
        <f>+VLOOKUP(tblKeluar[[#This Row],[Kode Barang]],tblKatalog[],3)</f>
        <v>ABC Alkaline</v>
      </c>
      <c r="E29" s="1">
        <v>2</v>
      </c>
      <c r="F29" s="23" t="s">
        <v>456</v>
      </c>
      <c r="G29" s="23" t="s">
        <v>453</v>
      </c>
      <c r="J29" s="24" t="s">
        <v>71</v>
      </c>
      <c r="K29" s="24" t="str">
        <f>+VLOOKUP(J29,tblKatalog[],2)</f>
        <v>Spidol Permanent Hitam Besar</v>
      </c>
      <c r="L29" s="46">
        <f>+SUMIF($B$8:$B$999975,"GAA024",$E$8:G$999975)</f>
        <v>0</v>
      </c>
    </row>
    <row r="30" spans="1:12" x14ac:dyDescent="0.25">
      <c r="A30" s="21">
        <v>46066</v>
      </c>
      <c r="B30" s="42" t="s">
        <v>37</v>
      </c>
      <c r="C30" s="26" t="str">
        <f>+VLOOKUP(tblKeluar[[#This Row],[Kode Barang]],tblKatalog[],2)</f>
        <v>Isi Staples No. 10-1M</v>
      </c>
      <c r="D30" s="26" t="str">
        <f>+VLOOKUP(tblKeluar[[#This Row],[Kode Barang]],tblKatalog[],3)</f>
        <v>Kangaro @1box kecil = 20 ea</v>
      </c>
      <c r="E30" s="1">
        <v>1</v>
      </c>
      <c r="F30" s="23" t="s">
        <v>405</v>
      </c>
      <c r="G30" s="23" t="s">
        <v>444</v>
      </c>
      <c r="J30" s="24" t="s">
        <v>72</v>
      </c>
      <c r="K30" s="24" t="str">
        <f>+VLOOKUP(J30,tblKatalog[],2)</f>
        <v>Kabel Twist</v>
      </c>
      <c r="L30" s="46">
        <f>+SUMIF($B$8:$B$999975,"GAA025",$E$8:G$999975)</f>
        <v>0</v>
      </c>
    </row>
    <row r="31" spans="1:12" x14ac:dyDescent="0.25">
      <c r="A31" s="21">
        <v>46071</v>
      </c>
      <c r="B31" s="42" t="s">
        <v>28</v>
      </c>
      <c r="C31" s="26" t="str">
        <f>+VLOOKUP(tblKeluar[[#This Row],[Kode Barang]],tblKatalog[],2)</f>
        <v>Lakban Coklat Besar</v>
      </c>
      <c r="D31" s="26" t="str">
        <f>+VLOOKUP(tblKeluar[[#This Row],[Kode Barang]],tblKatalog[],3)</f>
        <v>Daimaru @48mm</v>
      </c>
      <c r="E31" s="1">
        <v>1</v>
      </c>
      <c r="F31" s="23" t="s">
        <v>228</v>
      </c>
      <c r="G31" s="23" t="s">
        <v>446</v>
      </c>
      <c r="J31" s="24" t="s">
        <v>73</v>
      </c>
      <c r="K31" s="24" t="str">
        <f>+VLOOKUP(J31,tblKatalog[],2)</f>
        <v>Pembolong Kertas Besar</v>
      </c>
      <c r="L31" s="46">
        <f>+SUMIF($B$8:$B$999975,"GAA026",$E$8:G$999975)</f>
        <v>0</v>
      </c>
    </row>
    <row r="32" spans="1:12" x14ac:dyDescent="0.25">
      <c r="A32" s="21">
        <v>46072</v>
      </c>
      <c r="B32" s="42" t="s">
        <v>221</v>
      </c>
      <c r="C32" s="26" t="str">
        <f>+VLOOKUP(tblKeluar[[#This Row],[Kode Barang]],tblKatalog[],2)</f>
        <v>Baterai AA ABC</v>
      </c>
      <c r="D32" s="26" t="str">
        <f>+VLOOKUP(tblKeluar[[#This Row],[Kode Barang]],tblKatalog[],3)</f>
        <v>ABC Alkaline</v>
      </c>
      <c r="E32" s="1">
        <v>3</v>
      </c>
      <c r="F32" s="23" t="s">
        <v>405</v>
      </c>
      <c r="G32" s="23" t="s">
        <v>447</v>
      </c>
      <c r="J32" s="24" t="s">
        <v>74</v>
      </c>
      <c r="K32" s="24" t="str">
        <f>+VLOOKUP(J32,tblKatalog[],2)</f>
        <v>Isi Staples No. 3-1M</v>
      </c>
      <c r="L32" s="46">
        <f>+SUMIF($B$8:$B$999975,"GAA027",$E$8:G$999975)</f>
        <v>0</v>
      </c>
    </row>
    <row r="33" spans="1:12" x14ac:dyDescent="0.25">
      <c r="A33" s="21">
        <v>46077</v>
      </c>
      <c r="B33" s="42" t="s">
        <v>111</v>
      </c>
      <c r="C33" s="26" t="str">
        <f>+VLOOKUP(tblKeluar[[#This Row],[Kode Barang]],tblKatalog[],2)</f>
        <v>Baterai AAA ABC</v>
      </c>
      <c r="D33" s="26" t="str">
        <f>+VLOOKUP(tblKeluar[[#This Row],[Kode Barang]],tblKatalog[],3)</f>
        <v>ABC Alkaline</v>
      </c>
      <c r="E33" s="1">
        <v>2</v>
      </c>
      <c r="F33" s="23" t="s">
        <v>405</v>
      </c>
      <c r="G33" s="23" t="s">
        <v>443</v>
      </c>
      <c r="J33" s="24" t="s">
        <v>75</v>
      </c>
      <c r="K33" s="24" t="str">
        <f>+VLOOKUP(J33,tblKatalog[],2)</f>
        <v xml:space="preserve">Lakban Bening Kecil </v>
      </c>
      <c r="L33" s="46">
        <f>+SUMIF($B$8:$B$999975,"GAA028",$E$8:G$999975)</f>
        <v>0</v>
      </c>
    </row>
    <row r="34" spans="1:12" x14ac:dyDescent="0.25">
      <c r="A34" s="21">
        <v>46084</v>
      </c>
      <c r="B34" s="42" t="s">
        <v>147</v>
      </c>
      <c r="C34" s="26" t="str">
        <f>+VLOOKUP(tblKeluar[[#This Row],[Kode Barang]],tblKatalog[],2)</f>
        <v>Kertas A4 @70gr</v>
      </c>
      <c r="D34" s="26" t="str">
        <f>+VLOOKUP(tblKeluar[[#This Row],[Kode Barang]],tblKatalog[],3)</f>
        <v>Kiky @1 Rim</v>
      </c>
      <c r="E34" s="1">
        <v>1</v>
      </c>
      <c r="F34" s="23" t="s">
        <v>405</v>
      </c>
      <c r="G34" s="23" t="s">
        <v>444</v>
      </c>
      <c r="J34" s="24" t="s">
        <v>76</v>
      </c>
      <c r="K34" s="24" t="str">
        <f>+VLOOKUP(J34,tblKatalog[],2)</f>
        <v>Spidol Permanent Putih</v>
      </c>
      <c r="L34" s="46">
        <f>+SUMIF($B$8:$B$999975,"GAA029",$E$8:G$999975)</f>
        <v>0</v>
      </c>
    </row>
    <row r="35" spans="1:12" x14ac:dyDescent="0.25">
      <c r="A35" s="21">
        <v>46086</v>
      </c>
      <c r="B35" s="42" t="s">
        <v>108</v>
      </c>
      <c r="C35" s="26" t="str">
        <f>+VLOOKUP(tblKeluar[[#This Row],[Kode Barang]],tblKatalog[],2)</f>
        <v xml:space="preserve">Pulpen </v>
      </c>
      <c r="D35" s="26" t="str">
        <f>+VLOOKUP(tblKeluar[[#This Row],[Kode Barang]],tblKatalog[],3)</f>
        <v>Snowman @V-7</v>
      </c>
      <c r="E35" s="1">
        <v>2</v>
      </c>
      <c r="F35" s="23" t="s">
        <v>405</v>
      </c>
      <c r="G35" s="23" t="s">
        <v>443</v>
      </c>
      <c r="J35" s="24" t="s">
        <v>77</v>
      </c>
      <c r="K35" s="24" t="str">
        <f>+VLOOKUP(J35,tblKatalog[],2)</f>
        <v>Spidol Whiteboard Marker Red</v>
      </c>
      <c r="L35" s="46">
        <f>+SUMIF($B$8:$B$999975,"GAA030",$E$8:G$999975)</f>
        <v>0</v>
      </c>
    </row>
    <row r="36" spans="1:12" x14ac:dyDescent="0.25">
      <c r="A36" s="21">
        <v>46087</v>
      </c>
      <c r="B36" s="42" t="s">
        <v>285</v>
      </c>
      <c r="C36" s="26" t="str">
        <f>+VLOOKUP(tblKeluar[[#This Row],[Kode Barang]],tblKatalog[],2)</f>
        <v>Nota 1 Ply</v>
      </c>
      <c r="D36" s="26" t="str">
        <f>+VLOOKUP(tblKeluar[[#This Row],[Kode Barang]],tblKatalog[],3)</f>
        <v>Paperline @108x155 mm</v>
      </c>
      <c r="E36" s="1">
        <v>1</v>
      </c>
      <c r="F36" s="23" t="s">
        <v>405</v>
      </c>
      <c r="G36" s="23" t="s">
        <v>443</v>
      </c>
      <c r="J36" s="24" t="s">
        <v>78</v>
      </c>
      <c r="K36" s="24" t="str">
        <f>+VLOOKUP(J36,tblKatalog[],2)</f>
        <v>Spidol Whiteboard Marker Green</v>
      </c>
      <c r="L36" s="46">
        <f>+SUMIF($B$8:$B$999975,"GAA031",$E$8:G$999975)</f>
        <v>0</v>
      </c>
    </row>
    <row r="37" spans="1:12" x14ac:dyDescent="0.25">
      <c r="A37" s="21">
        <v>46094</v>
      </c>
      <c r="B37" s="42" t="s">
        <v>29</v>
      </c>
      <c r="C37" s="26" t="str">
        <f>+VLOOKUP(tblKeluar[[#This Row],[Kode Barang]],tblKatalog[],2)</f>
        <v>Lakban Bening Besar</v>
      </c>
      <c r="D37" s="26" t="str">
        <f>+VLOOKUP(tblKeluar[[#This Row],[Kode Barang]],tblKatalog[],3)</f>
        <v>Daimaru @48mm</v>
      </c>
      <c r="E37" s="1">
        <v>1</v>
      </c>
      <c r="F37" s="23" t="s">
        <v>405</v>
      </c>
      <c r="G37" s="23" t="s">
        <v>444</v>
      </c>
      <c r="J37" s="24" t="s">
        <v>79</v>
      </c>
      <c r="K37" s="24" t="str">
        <f>+VLOOKUP(J37,tblKatalog[],2)</f>
        <v>Spidol Whiteboard Marker Black</v>
      </c>
      <c r="L37" s="46">
        <f>+SUMIF($B$8:$B$999975,"GAA032",$E$8:G$999975)</f>
        <v>8</v>
      </c>
    </row>
    <row r="38" spans="1:12" x14ac:dyDescent="0.25">
      <c r="A38" s="21">
        <v>46094</v>
      </c>
      <c r="B38" s="42" t="s">
        <v>180</v>
      </c>
      <c r="C38" s="26" t="str">
        <f>+VLOOKUP(tblKeluar[[#This Row],[Kode Barang]],tblKatalog[],2)</f>
        <v xml:space="preserve">Post It Kecil </v>
      </c>
      <c r="D38" s="26" t="str">
        <f>+VLOOKUP(tblKeluar[[#This Row],[Kode Barang]],tblKatalog[],3)</f>
        <v>BIG 51x38 mm</v>
      </c>
      <c r="E38" s="1">
        <v>1</v>
      </c>
      <c r="F38" s="23" t="s">
        <v>405</v>
      </c>
      <c r="G38" s="23" t="s">
        <v>444</v>
      </c>
      <c r="J38" s="24" t="s">
        <v>105</v>
      </c>
      <c r="K38" s="24" t="str">
        <f>+VLOOKUP(J38,tblKatalog[],2)</f>
        <v xml:space="preserve">Spidol Permanent Hitam </v>
      </c>
      <c r="L38" s="46">
        <f>+SUMIF($B$8:$B$999975,"GAA033",$E$8:G$999975)</f>
        <v>2</v>
      </c>
    </row>
    <row r="39" spans="1:12" x14ac:dyDescent="0.25">
      <c r="A39" s="21">
        <v>46094</v>
      </c>
      <c r="B39" s="42" t="s">
        <v>24</v>
      </c>
      <c r="C39" s="26" t="str">
        <f>+VLOOKUP(tblKeluar[[#This Row],[Kode Barang]],tblKatalog[],2)</f>
        <v>Amplop Coklat F4</v>
      </c>
      <c r="D39" s="26" t="str">
        <f>+VLOOKUP(tblKeluar[[#This Row],[Kode Barang]],tblKatalog[],3)</f>
        <v>Garda @1 Pack = 100 pcs</v>
      </c>
      <c r="E39" s="1">
        <v>1</v>
      </c>
      <c r="F39" s="23" t="s">
        <v>405</v>
      </c>
      <c r="G39" s="23" t="s">
        <v>443</v>
      </c>
      <c r="J39" s="24" t="s">
        <v>106</v>
      </c>
      <c r="K39" s="24" t="str">
        <f>+VLOOKUP(J39,tblKatalog[],2)</f>
        <v>Trigonal Clip No. 03</v>
      </c>
      <c r="L39" s="46">
        <f>+SUMIF($B$8:$B$999975,"GAA034",$E$8:G$999975)</f>
        <v>4</v>
      </c>
    </row>
    <row r="40" spans="1:12" x14ac:dyDescent="0.25">
      <c r="A40" s="21">
        <v>46094</v>
      </c>
      <c r="B40" s="42" t="s">
        <v>25</v>
      </c>
      <c r="C40" s="26" t="str">
        <f>+VLOOKUP(tblKeluar[[#This Row],[Kode Barang]],tblKatalog[],2)</f>
        <v>Map F4</v>
      </c>
      <c r="D40" s="26" t="str">
        <f>+VLOOKUP(tblKeluar[[#This Row],[Kode Barang]],tblKatalog[],3)</f>
        <v>Biola @1 Pack = 50 pcs</v>
      </c>
      <c r="E40" s="1">
        <v>16</v>
      </c>
      <c r="F40" s="23" t="s">
        <v>405</v>
      </c>
      <c r="G40" s="23" t="s">
        <v>443</v>
      </c>
      <c r="J40" s="24" t="s">
        <v>107</v>
      </c>
      <c r="K40" s="24" t="str">
        <f>+VLOOKUP(J40,tblKatalog[],2)</f>
        <v>Kalkulator</v>
      </c>
      <c r="L40" s="46">
        <f>+SUMIF($B$8:$B$999975,"GAA035",$E$8:G$999975)</f>
        <v>0</v>
      </c>
    </row>
    <row r="41" spans="1:12" x14ac:dyDescent="0.25">
      <c r="A41" s="21">
        <v>46094</v>
      </c>
      <c r="B41" s="42" t="s">
        <v>141</v>
      </c>
      <c r="C41" s="26" t="str">
        <f>+VLOOKUP(tblKeluar[[#This Row],[Kode Barang]],tblKatalog[],2)</f>
        <v>Map Holder Bening</v>
      </c>
      <c r="D41" s="26" t="str">
        <f>+VLOOKUP(tblKeluar[[#This Row],[Kode Barang]],tblKatalog[],3)</f>
        <v>@F4</v>
      </c>
      <c r="E41" s="1">
        <v>1</v>
      </c>
      <c r="F41" s="23" t="s">
        <v>405</v>
      </c>
      <c r="G41" s="23" t="s">
        <v>443</v>
      </c>
      <c r="J41" s="24" t="s">
        <v>108</v>
      </c>
      <c r="K41" s="24" t="str">
        <f>+VLOOKUP(J41,tblKatalog[],2)</f>
        <v xml:space="preserve">Pulpen </v>
      </c>
      <c r="L41" s="46">
        <f>+SUMIF($B$8:$B$999975,"GAA036",$E$8:G$999975)</f>
        <v>7</v>
      </c>
    </row>
    <row r="42" spans="1:12" x14ac:dyDescent="0.25">
      <c r="A42" s="21">
        <v>46094</v>
      </c>
      <c r="B42" s="42" t="s">
        <v>180</v>
      </c>
      <c r="C42" s="26" t="str">
        <f>+VLOOKUP(tblKeluar[[#This Row],[Kode Barang]],tblKatalog[],2)</f>
        <v xml:space="preserve">Post It Kecil </v>
      </c>
      <c r="D42" s="26" t="str">
        <f>+VLOOKUP(tblKeluar[[#This Row],[Kode Barang]],tblKatalog[],3)</f>
        <v>BIG 51x38 mm</v>
      </c>
      <c r="E42" s="1">
        <v>3</v>
      </c>
      <c r="F42" s="23" t="s">
        <v>405</v>
      </c>
      <c r="G42" s="23" t="s">
        <v>443</v>
      </c>
      <c r="J42" s="24" t="s">
        <v>109</v>
      </c>
      <c r="K42" s="24" t="str">
        <f>+VLOOKUP(J42,tblKatalog[],2)</f>
        <v>Nota 2Ply</v>
      </c>
      <c r="L42" s="46">
        <f>+SUMIF($B$8:$B$999975,"GAA037",$E$8:G$999975)</f>
        <v>0</v>
      </c>
    </row>
    <row r="43" spans="1:12" x14ac:dyDescent="0.25">
      <c r="A43" s="21">
        <v>46094</v>
      </c>
      <c r="B43" s="42" t="s">
        <v>184</v>
      </c>
      <c r="C43" s="26" t="str">
        <f>+VLOOKUP(tblKeluar[[#This Row],[Kode Barang]],tblKatalog[],2)</f>
        <v xml:space="preserve">Amplop Coklat Kecil </v>
      </c>
      <c r="D43" s="26" t="str">
        <f>+VLOOKUP(tblKeluar[[#This Row],[Kode Barang]],tblKatalog[],3)</f>
        <v>Jaya @1Pack = 100 Ea</v>
      </c>
      <c r="E43" s="1">
        <v>1</v>
      </c>
      <c r="F43" s="23" t="s">
        <v>405</v>
      </c>
      <c r="G43" s="23" t="s">
        <v>443</v>
      </c>
      <c r="J43" s="24" t="s">
        <v>110</v>
      </c>
      <c r="K43" s="24" t="str">
        <f>+VLOOKUP(J43,tblKatalog[],2)</f>
        <v>Kwitansi Kecil</v>
      </c>
      <c r="L43" s="46">
        <f>+SUMIF($B$8:$B$999975,"GAA038,",$E$8:G$999975)</f>
        <v>0</v>
      </c>
    </row>
    <row r="44" spans="1:12" x14ac:dyDescent="0.25">
      <c r="A44" s="21">
        <v>46094</v>
      </c>
      <c r="B44" s="42" t="s">
        <v>321</v>
      </c>
      <c r="C44" s="26" t="str">
        <f>+VLOOKUP(tblKeluar[[#This Row],[Kode Barang]],tblKatalog[],2)</f>
        <v>Post It Sedang</v>
      </c>
      <c r="D44" s="26" t="str">
        <f>+VLOOKUP(tblKeluar[[#This Row],[Kode Barang]],tblKatalog[],3)</f>
        <v>BIG 76x51 mm</v>
      </c>
      <c r="E44" s="1">
        <v>4</v>
      </c>
      <c r="F44" s="23" t="s">
        <v>405</v>
      </c>
      <c r="G44" s="23" t="s">
        <v>443</v>
      </c>
      <c r="J44" s="24" t="s">
        <v>111</v>
      </c>
      <c r="K44" s="24" t="str">
        <f>+VLOOKUP(J44,tblKatalog[],2)</f>
        <v>Baterai AAA ABC</v>
      </c>
      <c r="L44" s="46">
        <f>+SUMIF($B$8:$B$999975,"GAA039",$E$8:G$999975)</f>
        <v>91</v>
      </c>
    </row>
    <row r="45" spans="1:12" x14ac:dyDescent="0.25">
      <c r="A45" s="21">
        <v>46121</v>
      </c>
      <c r="B45" s="42" t="s">
        <v>251</v>
      </c>
      <c r="C45" s="26" t="str">
        <f>+VLOOKUP(tblKeluar[[#This Row],[Kode Barang]],tblKatalog[],2)</f>
        <v>Cutter</v>
      </c>
      <c r="D45" s="26" t="str">
        <f>+VLOOKUP(tblKeluar[[#This Row],[Kode Barang]],tblKatalog[],3)</f>
        <v>Kenko L500</v>
      </c>
      <c r="E45" s="1">
        <v>1</v>
      </c>
      <c r="F45" s="23" t="s">
        <v>445</v>
      </c>
      <c r="G45" s="23" t="s">
        <v>463</v>
      </c>
      <c r="J45" s="24" t="s">
        <v>112</v>
      </c>
      <c r="K45" s="24" t="str">
        <f>+VLOOKUP(J45,tblKatalog[],2)</f>
        <v>Baterai AAA Panasonic</v>
      </c>
      <c r="L45" s="46">
        <f>+SUMIF($B$8:$B$999975,"GAA040",$E$8:G$999975)</f>
        <v>0</v>
      </c>
    </row>
    <row r="46" spans="1:12" x14ac:dyDescent="0.25">
      <c r="A46" s="21">
        <v>46121</v>
      </c>
      <c r="B46" s="42" t="s">
        <v>251</v>
      </c>
      <c r="C46" s="26" t="str">
        <f>+VLOOKUP(tblKeluar[[#This Row],[Kode Barang]],tblKatalog[],2)</f>
        <v>Cutter</v>
      </c>
      <c r="D46" s="26" t="str">
        <f>+VLOOKUP(tblKeluar[[#This Row],[Kode Barang]],tblKatalog[],3)</f>
        <v>Kenko L500</v>
      </c>
      <c r="E46" s="1">
        <v>2</v>
      </c>
      <c r="F46" s="23" t="s">
        <v>225</v>
      </c>
      <c r="G46" s="23" t="s">
        <v>464</v>
      </c>
      <c r="J46" s="24" t="s">
        <v>125</v>
      </c>
      <c r="K46" s="24" t="str">
        <f>+VLOOKUP(J46,tblKatalog[],2)</f>
        <v xml:space="preserve">Baterai AA Panasonic </v>
      </c>
      <c r="L46" s="46">
        <f>+SUMIF($B$8:$B$999975,"GAA041",$E$8:G$999975)</f>
        <v>0</v>
      </c>
    </row>
    <row r="47" spans="1:12" x14ac:dyDescent="0.25">
      <c r="A47" s="21">
        <v>46121</v>
      </c>
      <c r="B47" s="42" t="s">
        <v>250</v>
      </c>
      <c r="C47" s="26" t="str">
        <f>+VLOOKUP(tblKeluar[[#This Row],[Kode Barang]],tblKatalog[],2)</f>
        <v>Gunting Sedang</v>
      </c>
      <c r="D47" s="26" t="str">
        <f>+VLOOKUP(tblKeluar[[#This Row],[Kode Barang]],tblKatalog[],3)</f>
        <v>Joyko @SC-848</v>
      </c>
      <c r="E47" s="1">
        <v>1</v>
      </c>
      <c r="F47" s="23" t="s">
        <v>445</v>
      </c>
      <c r="G47" s="23" t="s">
        <v>463</v>
      </c>
      <c r="J47" s="24" t="s">
        <v>126</v>
      </c>
      <c r="K47" s="24" t="str">
        <f>+VLOOKUP(J47,tblKatalog[],2)</f>
        <v>Kertas Cover Buffalo Cream</v>
      </c>
      <c r="L47" s="46">
        <f>+SUMIF($B$8:$B$999975,"GAA042",$E$8:G$999975)</f>
        <v>0</v>
      </c>
    </row>
    <row r="48" spans="1:12" x14ac:dyDescent="0.25">
      <c r="A48" s="21">
        <v>46121</v>
      </c>
      <c r="B48" s="42" t="s">
        <v>250</v>
      </c>
      <c r="C48" s="26" t="str">
        <f>+VLOOKUP(tblKeluar[[#This Row],[Kode Barang]],tblKatalog[],2)</f>
        <v>Gunting Sedang</v>
      </c>
      <c r="D48" s="26" t="str">
        <f>+VLOOKUP(tblKeluar[[#This Row],[Kode Barang]],tblKatalog[],3)</f>
        <v>Joyko @SC-848</v>
      </c>
      <c r="E48" s="1">
        <v>1</v>
      </c>
      <c r="F48" s="23" t="s">
        <v>225</v>
      </c>
      <c r="G48" s="23" t="s">
        <v>464</v>
      </c>
      <c r="J48" s="24" t="s">
        <v>127</v>
      </c>
      <c r="K48" s="24" t="str">
        <f>+VLOOKUP(J48,tblKatalog[],2)</f>
        <v>Amplop Coklat ARKA</v>
      </c>
      <c r="L48" s="46">
        <f>+SUMIF($B$8:$B$999975,"GAA043",$E$8:G$999975)</f>
        <v>1</v>
      </c>
    </row>
    <row r="49" spans="1:12" x14ac:dyDescent="0.25">
      <c r="A49" s="21">
        <v>46121</v>
      </c>
      <c r="B49" s="42" t="s">
        <v>250</v>
      </c>
      <c r="C49" s="26" t="str">
        <f>+VLOOKUP(tblKeluar[[#This Row],[Kode Barang]],tblKatalog[],2)</f>
        <v>Gunting Sedang</v>
      </c>
      <c r="D49" s="26" t="str">
        <f>+VLOOKUP(tblKeluar[[#This Row],[Kode Barang]],tblKatalog[],3)</f>
        <v>Joyko @SC-848</v>
      </c>
      <c r="E49" s="1">
        <v>1</v>
      </c>
      <c r="F49" s="23" t="s">
        <v>461</v>
      </c>
      <c r="G49" s="23" t="s">
        <v>462</v>
      </c>
      <c r="J49" s="24" t="s">
        <v>128</v>
      </c>
      <c r="K49" s="24" t="str">
        <f>+VLOOKUP(J49,tblKatalog[],2)</f>
        <v>Spidol Glass Marker Black</v>
      </c>
      <c r="L49" s="46">
        <f>+SUMIF($B$8:$B$999975,"GAA044",$E$8:G$999975)</f>
        <v>0</v>
      </c>
    </row>
    <row r="50" spans="1:12" x14ac:dyDescent="0.25">
      <c r="A50" s="21">
        <v>46121</v>
      </c>
      <c r="B50" s="42" t="s">
        <v>250</v>
      </c>
      <c r="C50" s="26" t="str">
        <f>+VLOOKUP(tblKeluar[[#This Row],[Kode Barang]],tblKatalog[],2)</f>
        <v>Gunting Sedang</v>
      </c>
      <c r="D50" s="26" t="str">
        <f>+VLOOKUP(tblKeluar[[#This Row],[Kode Barang]],tblKatalog[],3)</f>
        <v>Joyko @SC-848</v>
      </c>
      <c r="E50" s="1">
        <v>2</v>
      </c>
      <c r="F50" s="23" t="s">
        <v>456</v>
      </c>
      <c r="G50" s="23" t="s">
        <v>457</v>
      </c>
      <c r="J50" s="24" t="s">
        <v>129</v>
      </c>
      <c r="K50" s="24" t="str">
        <f>+VLOOKUP(J50,tblKatalog[],2)</f>
        <v>Kertas Cover Buffalo Putih A4</v>
      </c>
      <c r="L50" s="46">
        <f>+SUMIF($B$8:$B$999975,"GAA045",$E$8:G$999975)</f>
        <v>3</v>
      </c>
    </row>
    <row r="51" spans="1:12" x14ac:dyDescent="0.25">
      <c r="A51" s="21">
        <v>46121</v>
      </c>
      <c r="B51" s="42" t="s">
        <v>326</v>
      </c>
      <c r="C51" s="26" t="str">
        <f>+VLOOKUP(tblKeluar[[#This Row],[Kode Barang]],tblKatalog[],2)</f>
        <v>Karet Gelang</v>
      </c>
      <c r="D51" s="26" t="str">
        <f>+VLOOKUP(tblKeluar[[#This Row],[Kode Barang]],tblKatalog[],3)</f>
        <v>@1pack</v>
      </c>
      <c r="E51" s="1">
        <v>2</v>
      </c>
      <c r="F51" s="23" t="s">
        <v>225</v>
      </c>
      <c r="G51" s="23" t="s">
        <v>464</v>
      </c>
      <c r="J51" s="24" t="s">
        <v>137</v>
      </c>
      <c r="K51" s="24" t="str">
        <f>+VLOOKUP(J51,tblKatalog[],2)</f>
        <v>Kertas Cover Buffalo Biru A4</v>
      </c>
      <c r="L51" s="46">
        <f>+SUMIF($B$8:$B$999975,"GAA046",$E$8:G$999975)</f>
        <v>0</v>
      </c>
    </row>
    <row r="52" spans="1:12" x14ac:dyDescent="0.25">
      <c r="A52" s="21">
        <v>46121</v>
      </c>
      <c r="B52" s="42" t="s">
        <v>329</v>
      </c>
      <c r="C52" s="26" t="str">
        <f>+VLOOKUP(tblKeluar[[#This Row],[Kode Barang]],tblKatalog[],2)</f>
        <v>Post It Sign Here</v>
      </c>
      <c r="D52" s="26" t="str">
        <f>+VLOOKUP(tblKeluar[[#This Row],[Kode Barang]],tblKatalog[],3)</f>
        <v>BIG 44x12 mm</v>
      </c>
      <c r="E52" s="1">
        <v>4</v>
      </c>
      <c r="F52" s="23" t="s">
        <v>225</v>
      </c>
      <c r="G52" s="23" t="s">
        <v>464</v>
      </c>
      <c r="J52" s="24" t="s">
        <v>140</v>
      </c>
      <c r="K52" s="24" t="str">
        <f>+VLOOKUP(J52,tblKatalog[],2)</f>
        <v>Kertas Cover Buffalo Hijau A4</v>
      </c>
      <c r="L52" s="46">
        <f>+SUMIF($B$8:$B$999975,"GAA047",$E$8:G$999975)</f>
        <v>0</v>
      </c>
    </row>
    <row r="53" spans="1:12" x14ac:dyDescent="0.25">
      <c r="A53" s="21">
        <v>46121</v>
      </c>
      <c r="B53" s="42" t="s">
        <v>321</v>
      </c>
      <c r="C53" s="26" t="str">
        <f>+VLOOKUP(tblKeluar[[#This Row],[Kode Barang]],tblKatalog[],2)</f>
        <v>Post It Sedang</v>
      </c>
      <c r="D53" s="26" t="str">
        <f>+VLOOKUP(tblKeluar[[#This Row],[Kode Barang]],tblKatalog[],3)</f>
        <v>BIG 76x51 mm</v>
      </c>
      <c r="E53" s="1">
        <v>5</v>
      </c>
      <c r="F53" s="23" t="s">
        <v>458</v>
      </c>
      <c r="G53" s="23" t="s">
        <v>459</v>
      </c>
      <c r="J53" s="24" t="s">
        <v>141</v>
      </c>
      <c r="K53" s="24" t="str">
        <f>+VLOOKUP(J53,tblKatalog[],2)</f>
        <v>Map Holder Bening</v>
      </c>
      <c r="L53" s="46">
        <f>+SUMIF($B$8:$B$999975,"GAA048",$E$8:G$999975)</f>
        <v>2</v>
      </c>
    </row>
    <row r="54" spans="1:12" x14ac:dyDescent="0.25">
      <c r="A54" s="21">
        <v>46121</v>
      </c>
      <c r="B54" s="42" t="s">
        <v>321</v>
      </c>
      <c r="C54" s="26" t="str">
        <f>+VLOOKUP(tblKeluar[[#This Row],[Kode Barang]],tblKatalog[],2)</f>
        <v>Post It Sedang</v>
      </c>
      <c r="D54" s="26" t="str">
        <f>+VLOOKUP(tblKeluar[[#This Row],[Kode Barang]],tblKatalog[],3)</f>
        <v>BIG 76x51 mm</v>
      </c>
      <c r="E54" s="1">
        <v>3</v>
      </c>
      <c r="F54" s="23" t="s">
        <v>456</v>
      </c>
      <c r="G54" s="23" t="s">
        <v>457</v>
      </c>
      <c r="J54" s="24" t="s">
        <v>142</v>
      </c>
      <c r="K54" s="24" t="str">
        <f>+VLOOKUP(J54,tblKatalog[],2)</f>
        <v xml:space="preserve">Lakban Bening Sedang </v>
      </c>
      <c r="L54" s="46">
        <f>+SUMIF($B$8:$B$999975,"GAA049",$E$8:G$999975)</f>
        <v>0</v>
      </c>
    </row>
    <row r="55" spans="1:12" x14ac:dyDescent="0.25">
      <c r="A55" s="21">
        <v>46121</v>
      </c>
      <c r="B55" s="42" t="s">
        <v>356</v>
      </c>
      <c r="C55" s="26" t="str">
        <f>+VLOOKUP(tblKeluar[[#This Row],[Kode Barang]],tblKatalog[],2)</f>
        <v>Post It 3 Color</v>
      </c>
      <c r="D55" s="26" t="str">
        <f>+VLOOKUP(tblKeluar[[#This Row],[Kode Barang]],tblKatalog[],3)</f>
        <v>20x50 mm</v>
      </c>
      <c r="E55" s="1">
        <v>6</v>
      </c>
      <c r="F55" s="23" t="s">
        <v>456</v>
      </c>
      <c r="G55" s="23" t="s">
        <v>457</v>
      </c>
      <c r="J55" s="24" t="s">
        <v>143</v>
      </c>
      <c r="K55" s="24" t="str">
        <f>+VLOOKUP(J55,tblKatalog[],2)</f>
        <v xml:space="preserve">Double Tape Kecil </v>
      </c>
      <c r="L55" s="46">
        <f>+SUMIF($B$8:$B$999975,"GAA050",$E$8:G$999975)</f>
        <v>0</v>
      </c>
    </row>
    <row r="56" spans="1:12" x14ac:dyDescent="0.25">
      <c r="A56" s="21">
        <v>46121</v>
      </c>
      <c r="B56" s="42" t="s">
        <v>180</v>
      </c>
      <c r="C56" s="26" t="str">
        <f>+VLOOKUP(tblKeluar[[#This Row],[Kode Barang]],tblKatalog[],2)</f>
        <v xml:space="preserve">Post It Kecil </v>
      </c>
      <c r="D56" s="26" t="str">
        <f>+VLOOKUP(tblKeluar[[#This Row],[Kode Barang]],tblKatalog[],3)</f>
        <v>BIG 51x38 mm</v>
      </c>
      <c r="E56" s="1">
        <v>3</v>
      </c>
      <c r="F56" s="23" t="s">
        <v>454</v>
      </c>
      <c r="G56" s="23" t="s">
        <v>455</v>
      </c>
      <c r="J56" s="24" t="s">
        <v>144</v>
      </c>
      <c r="K56" s="24" t="str">
        <f>+VLOOKUP(J56,tblKatalog[],2)</f>
        <v>Double Tape Besar</v>
      </c>
      <c r="L56" s="46">
        <f>+SUMIF($B$8:$B$999975,"GAA051",$E$8:G$999975)</f>
        <v>0</v>
      </c>
    </row>
    <row r="57" spans="1:12" x14ac:dyDescent="0.25">
      <c r="A57" s="21">
        <v>46121</v>
      </c>
      <c r="B57" s="42" t="s">
        <v>180</v>
      </c>
      <c r="C57" s="26" t="str">
        <f>+VLOOKUP(tblKeluar[[#This Row],[Kode Barang]],tblKatalog[],2)</f>
        <v xml:space="preserve">Post It Kecil </v>
      </c>
      <c r="D57" s="26" t="str">
        <f>+VLOOKUP(tblKeluar[[#This Row],[Kode Barang]],tblKatalog[],3)</f>
        <v>BIG 51x38 mm</v>
      </c>
      <c r="E57" s="1">
        <v>5</v>
      </c>
      <c r="F57" s="23" t="s">
        <v>458</v>
      </c>
      <c r="G57" s="23" t="s">
        <v>459</v>
      </c>
      <c r="J57" s="24" t="s">
        <v>145</v>
      </c>
      <c r="K57" s="24" t="str">
        <f>+VLOOKUP(J57,tblKatalog[],2)</f>
        <v>Lakban Hitam Kecil</v>
      </c>
      <c r="L57" s="46">
        <f>+SUMIF($B$8:$B$999975,"GAA052",$E$8:G$999975)</f>
        <v>0</v>
      </c>
    </row>
    <row r="58" spans="1:12" x14ac:dyDescent="0.25">
      <c r="A58" s="21">
        <v>46121</v>
      </c>
      <c r="B58" s="42" t="s">
        <v>181</v>
      </c>
      <c r="C58" s="26" t="str">
        <f>+VLOOKUP(tblKeluar[[#This Row],[Kode Barang]],tblKatalog[],2)</f>
        <v xml:space="preserve">Post It Besar </v>
      </c>
      <c r="D58" s="26" t="str">
        <f>+VLOOKUP(tblKeluar[[#This Row],[Kode Barang]],tblKatalog[],3)</f>
        <v>BIG 76x76 mm</v>
      </c>
      <c r="E58" s="1">
        <v>5</v>
      </c>
      <c r="F58" s="23" t="s">
        <v>454</v>
      </c>
      <c r="G58" s="23" t="s">
        <v>455</v>
      </c>
      <c r="J58" s="24" t="s">
        <v>147</v>
      </c>
      <c r="K58" s="24" t="str">
        <f>+VLOOKUP(J58,tblKatalog[],2)</f>
        <v>Kertas A4 @70gr</v>
      </c>
      <c r="L58" s="46">
        <f>+SUMIF($B$8:$B$999975,"GAA053",$E$8:G$999975)</f>
        <v>124</v>
      </c>
    </row>
    <row r="59" spans="1:12" x14ac:dyDescent="0.25">
      <c r="A59" s="21">
        <v>46121</v>
      </c>
      <c r="B59" s="42" t="s">
        <v>181</v>
      </c>
      <c r="C59" s="26" t="str">
        <f>+VLOOKUP(tblKeluar[[#This Row],[Kode Barang]],tblKatalog[],2)</f>
        <v xml:space="preserve">Post It Besar </v>
      </c>
      <c r="D59" s="26" t="str">
        <f>+VLOOKUP(tblKeluar[[#This Row],[Kode Barang]],tblKatalog[],3)</f>
        <v>BIG 76x76 mm</v>
      </c>
      <c r="E59" s="1">
        <v>5</v>
      </c>
      <c r="F59" s="23" t="s">
        <v>458</v>
      </c>
      <c r="G59" s="23" t="s">
        <v>459</v>
      </c>
      <c r="J59" s="24" t="s">
        <v>148</v>
      </c>
      <c r="K59" s="24" t="str">
        <f>+VLOOKUP(J59,tblKatalog[],2)</f>
        <v>Kertas F4 @70gr</v>
      </c>
      <c r="L59" s="46">
        <f>+SUMIF($B$8:$B$999975,"GAA054",$E$8:G$999975)</f>
        <v>1</v>
      </c>
    </row>
    <row r="60" spans="1:12" x14ac:dyDescent="0.25">
      <c r="A60" s="21">
        <v>46121</v>
      </c>
      <c r="B60" s="42" t="s">
        <v>28</v>
      </c>
      <c r="C60" s="26" t="str">
        <f>+VLOOKUP(tblKeluar[[#This Row],[Kode Barang]],tblKatalog[],2)</f>
        <v>Lakban Coklat Besar</v>
      </c>
      <c r="D60" s="26" t="str">
        <f>+VLOOKUP(tblKeluar[[#This Row],[Kode Barang]],tblKatalog[],3)</f>
        <v>Daimaru @48mm</v>
      </c>
      <c r="E60" s="1">
        <v>12</v>
      </c>
      <c r="F60" s="23" t="s">
        <v>225</v>
      </c>
      <c r="G60" s="23" t="s">
        <v>464</v>
      </c>
      <c r="J60" s="24" t="s">
        <v>149</v>
      </c>
      <c r="K60" s="24" t="str">
        <f>+VLOOKUP(J60,tblKatalog[],2)</f>
        <v>Kertas A4 Kuning</v>
      </c>
      <c r="L60" s="46">
        <f>+SUMIF($B$8:$B$999975,"GAA055",$E$8:G$999975)</f>
        <v>0</v>
      </c>
    </row>
    <row r="61" spans="1:12" x14ac:dyDescent="0.25">
      <c r="A61" s="21">
        <v>46121</v>
      </c>
      <c r="B61" s="42" t="s">
        <v>28</v>
      </c>
      <c r="C61" s="26" t="str">
        <f>+VLOOKUP(tblKeluar[[#This Row],[Kode Barang]],tblKatalog[],2)</f>
        <v>Lakban Coklat Besar</v>
      </c>
      <c r="D61" s="26" t="str">
        <f>+VLOOKUP(tblKeluar[[#This Row],[Kode Barang]],tblKatalog[],3)</f>
        <v>Daimaru @48mm</v>
      </c>
      <c r="E61" s="1">
        <v>2</v>
      </c>
      <c r="F61" s="23" t="s">
        <v>228</v>
      </c>
      <c r="G61" s="23" t="s">
        <v>446</v>
      </c>
      <c r="J61" s="24" t="s">
        <v>150</v>
      </c>
      <c r="K61" s="24" t="str">
        <f>+VLOOKUP(J61,tblKatalog[],2)</f>
        <v xml:space="preserve">Paper Sticker </v>
      </c>
      <c r="L61" s="46">
        <f>+SUMIF($B$8:$B$999975,"GAA056",$E$8:G$999975)</f>
        <v>0</v>
      </c>
    </row>
    <row r="62" spans="1:12" x14ac:dyDescent="0.25">
      <c r="A62" s="21">
        <v>46121</v>
      </c>
      <c r="B62" s="42" t="s">
        <v>28</v>
      </c>
      <c r="C62" s="26" t="str">
        <f>+VLOOKUP(tblKeluar[[#This Row],[Kode Barang]],tblKatalog[],2)</f>
        <v>Lakban Coklat Besar</v>
      </c>
      <c r="D62" s="26" t="str">
        <f>+VLOOKUP(tblKeluar[[#This Row],[Kode Barang]],tblKatalog[],3)</f>
        <v>Daimaru @48mm</v>
      </c>
      <c r="E62" s="1">
        <v>8</v>
      </c>
      <c r="F62" s="23" t="s">
        <v>456</v>
      </c>
      <c r="G62" s="23" t="s">
        <v>457</v>
      </c>
      <c r="J62" s="24" t="s">
        <v>151</v>
      </c>
      <c r="K62" s="24" t="str">
        <f>+VLOOKUP(J62,tblKatalog[],2)</f>
        <v>Isi Cutter</v>
      </c>
      <c r="L62" s="46">
        <f>+SUMIF($B$8:$B$999975,"GAA057",$E$8:G$999975)</f>
        <v>0</v>
      </c>
    </row>
    <row r="63" spans="1:12" x14ac:dyDescent="0.25">
      <c r="A63" s="21">
        <v>46121</v>
      </c>
      <c r="B63" s="42" t="s">
        <v>27</v>
      </c>
      <c r="C63" s="26" t="str">
        <f>+VLOOKUP(tblKeluar[[#This Row],[Kode Barang]],tblKatalog[],2)</f>
        <v>Lakban Kertas Besar</v>
      </c>
      <c r="D63" s="26" t="str">
        <f>+VLOOKUP(tblKeluar[[#This Row],[Kode Barang]],tblKatalog[],3)</f>
        <v>Eka Tape @48mm</v>
      </c>
      <c r="E63" s="1">
        <v>1</v>
      </c>
      <c r="F63" s="23" t="s">
        <v>461</v>
      </c>
      <c r="G63" s="23" t="s">
        <v>462</v>
      </c>
      <c r="J63" s="24" t="s">
        <v>152</v>
      </c>
      <c r="K63" s="24" t="str">
        <f>+VLOOKUP(J63,tblKatalog[],2)</f>
        <v>Binder Clips@No.260</v>
      </c>
      <c r="L63" s="46">
        <f>+SUMIF($B$8:$B$999975,"GAA058",$E$8:G$999975)</f>
        <v>7</v>
      </c>
    </row>
    <row r="64" spans="1:12" x14ac:dyDescent="0.25">
      <c r="A64" s="21">
        <v>46121</v>
      </c>
      <c r="B64" s="42" t="s">
        <v>29</v>
      </c>
      <c r="C64" s="26" t="str">
        <f>+VLOOKUP(tblKeluar[[#This Row],[Kode Barang]],tblKatalog[],2)</f>
        <v>Lakban Bening Besar</v>
      </c>
      <c r="D64" s="26" t="str">
        <f>+VLOOKUP(tblKeluar[[#This Row],[Kode Barang]],tblKatalog[],3)</f>
        <v>Daimaru @48mm</v>
      </c>
      <c r="E64" s="1">
        <v>2</v>
      </c>
      <c r="F64" s="23" t="s">
        <v>228</v>
      </c>
      <c r="G64" s="23" t="s">
        <v>446</v>
      </c>
      <c r="J64" s="24" t="s">
        <v>153</v>
      </c>
      <c r="K64" s="24" t="str">
        <f>+VLOOKUP(J64,tblKatalog[],2)</f>
        <v xml:space="preserve">Push Pins </v>
      </c>
      <c r="L64" s="46">
        <f>+SUMIF($B$8:$B$999975,"GAA059",$E$8:G$999975)</f>
        <v>1</v>
      </c>
    </row>
    <row r="65" spans="1:12" x14ac:dyDescent="0.25">
      <c r="A65" s="21">
        <v>46121</v>
      </c>
      <c r="B65" s="42" t="s">
        <v>29</v>
      </c>
      <c r="C65" s="26" t="str">
        <f>+VLOOKUP(tblKeluar[[#This Row],[Kode Barang]],tblKatalog[],2)</f>
        <v>Lakban Bening Besar</v>
      </c>
      <c r="D65" s="26" t="str">
        <f>+VLOOKUP(tblKeluar[[#This Row],[Kode Barang]],tblKatalog[],3)</f>
        <v>Daimaru @48mm</v>
      </c>
      <c r="E65" s="1">
        <v>8</v>
      </c>
      <c r="F65" s="23" t="s">
        <v>456</v>
      </c>
      <c r="G65" s="23" t="s">
        <v>457</v>
      </c>
      <c r="J65" s="24" t="s">
        <v>159</v>
      </c>
      <c r="K65" s="24" t="str">
        <f>+VLOOKUP(J65,tblKatalog[],2)</f>
        <v>Ink Catridge Black</v>
      </c>
      <c r="L65" s="46">
        <f>+SUMIF($B$8:$B$999975,"GAA060",$E$8:G$999975)</f>
        <v>0</v>
      </c>
    </row>
    <row r="66" spans="1:12" x14ac:dyDescent="0.25">
      <c r="A66" s="21">
        <v>46121</v>
      </c>
      <c r="B66" s="42" t="s">
        <v>186</v>
      </c>
      <c r="C66" s="26" t="str">
        <f>+VLOOKUP(tblKeluar[[#This Row],[Kode Barang]],tblKatalog[],2)</f>
        <v>Lakban Hitam Besar</v>
      </c>
      <c r="D66" s="26" t="str">
        <f>+VLOOKUP(tblKeluar[[#This Row],[Kode Barang]],tblKatalog[],3)</f>
        <v>Daimaru @48mm</v>
      </c>
      <c r="E66" s="1">
        <v>4</v>
      </c>
      <c r="F66" s="23" t="s">
        <v>458</v>
      </c>
      <c r="G66" s="23" t="s">
        <v>459</v>
      </c>
      <c r="J66" s="24" t="s">
        <v>170</v>
      </c>
      <c r="K66" s="24" t="str">
        <f>+VLOOKUP(J66,tblKatalog[],2)</f>
        <v>Ink Catridge Yellow</v>
      </c>
      <c r="L66" s="46">
        <f>+SUMIF($B$8:$B$999975,"GAA061",$E$8:G$999975)</f>
        <v>0</v>
      </c>
    </row>
    <row r="67" spans="1:12" x14ac:dyDescent="0.25">
      <c r="A67" s="21">
        <v>46121</v>
      </c>
      <c r="B67" s="42" t="s">
        <v>129</v>
      </c>
      <c r="C67" s="26" t="str">
        <f>+VLOOKUP(tblKeluar[[#This Row],[Kode Barang]],tblKatalog[],2)</f>
        <v>Kertas Cover Buffalo Putih A4</v>
      </c>
      <c r="D67" s="26" t="str">
        <f>+VLOOKUP(tblKeluar[[#This Row],[Kode Barang]],tblKatalog[],3)</f>
        <v>@1 Pack = 100 Sheet</v>
      </c>
      <c r="E67" s="1">
        <v>1</v>
      </c>
      <c r="F67" s="23" t="s">
        <v>225</v>
      </c>
      <c r="G67" s="23" t="s">
        <v>464</v>
      </c>
      <c r="J67" s="24" t="s">
        <v>171</v>
      </c>
      <c r="K67" s="24" t="str">
        <f>+VLOOKUP(J67,tblKatalog[],2)</f>
        <v>Ink Catridge Cyan</v>
      </c>
      <c r="L67" s="46">
        <f>+SUMIF($B$8:$B$999975,"GAA062",$E$8:G$999975)</f>
        <v>0</v>
      </c>
    </row>
    <row r="68" spans="1:12" x14ac:dyDescent="0.25">
      <c r="A68" s="21">
        <v>46121</v>
      </c>
      <c r="B68" s="42" t="s">
        <v>346</v>
      </c>
      <c r="C68" s="26" t="str">
        <f>+VLOOKUP(tblKeluar[[#This Row],[Kode Barang]],tblKatalog[],2)</f>
        <v>Glossy Photo Paper Double Side A4</v>
      </c>
      <c r="D68" s="26" t="str">
        <f>+VLOOKUP(tblKeluar[[#This Row],[Kode Barang]],tblKatalog[],3)</f>
        <v>Data Print @1 Pack = 20 Sheet</v>
      </c>
      <c r="E68" s="1">
        <v>1</v>
      </c>
      <c r="F68" s="23" t="s">
        <v>458</v>
      </c>
      <c r="G68" s="23" t="s">
        <v>459</v>
      </c>
      <c r="J68" s="24" t="s">
        <v>172</v>
      </c>
      <c r="K68" s="24" t="str">
        <f>+VLOOKUP(J68,tblKatalog[],2)</f>
        <v>Ink Catridge Magenta</v>
      </c>
      <c r="L68" s="46">
        <f>+SUMIF($B$8:$B$999975,"GAA063",$E$8:G$999975)</f>
        <v>0</v>
      </c>
    </row>
    <row r="69" spans="1:12" x14ac:dyDescent="0.25">
      <c r="A69" s="21">
        <v>46121</v>
      </c>
      <c r="B69" s="42" t="s">
        <v>256</v>
      </c>
      <c r="C69" s="26" t="str">
        <f>+VLOOKUP(tblKeluar[[#This Row],[Kode Barang]],tblKatalog[],2)</f>
        <v>Glossy Sticker Paper</v>
      </c>
      <c r="D69" s="26" t="str">
        <f>+VLOOKUP(tblKeluar[[#This Row],[Kode Barang]],tblKatalog[],3)</f>
        <v>Data Print @1 Pack = 20 Sheet</v>
      </c>
      <c r="E69" s="1">
        <v>3</v>
      </c>
      <c r="F69" s="23" t="s">
        <v>233</v>
      </c>
      <c r="G69" s="23" t="s">
        <v>460</v>
      </c>
      <c r="J69" s="24" t="s">
        <v>173</v>
      </c>
      <c r="K69" s="24" t="str">
        <f>+VLOOKUP(J69,tblKatalog[],2)</f>
        <v xml:space="preserve">Double Tape Automotive Kecil </v>
      </c>
      <c r="L69" s="46">
        <f>+SUMIF($B$8:$B$999975,"GAA064",$E$8:G$999975)</f>
        <v>0</v>
      </c>
    </row>
    <row r="70" spans="1:12" x14ac:dyDescent="0.25">
      <c r="A70" s="21">
        <v>46121</v>
      </c>
      <c r="B70" s="42" t="s">
        <v>23</v>
      </c>
      <c r="C70" s="26" t="str">
        <f>+VLOOKUP(tblKeluar[[#This Row],[Kode Barang]],tblKatalog[],2)</f>
        <v>Glossy Photo Paper</v>
      </c>
      <c r="D70" s="26" t="str">
        <f>+VLOOKUP(tblKeluar[[#This Row],[Kode Barang]],tblKatalog[],3)</f>
        <v>Data Print @1 Pack = 50 Sheet</v>
      </c>
      <c r="E70" s="1">
        <v>3</v>
      </c>
      <c r="F70" s="23" t="s">
        <v>233</v>
      </c>
      <c r="G70" s="23" t="s">
        <v>460</v>
      </c>
      <c r="J70" s="24" t="s">
        <v>174</v>
      </c>
      <c r="K70" s="24" t="str">
        <f>+VLOOKUP(J70,tblKatalog[],2)</f>
        <v xml:space="preserve">Double Tape Automotive Sedang </v>
      </c>
      <c r="L70" s="46">
        <f>+SUMIF($B$8:$B$999975,"GAA065",$E$8:G$999975)</f>
        <v>0</v>
      </c>
    </row>
    <row r="71" spans="1:12" x14ac:dyDescent="0.25">
      <c r="A71" s="21">
        <v>46121</v>
      </c>
      <c r="B71" s="42" t="s">
        <v>147</v>
      </c>
      <c r="C71" s="26" t="str">
        <f>+VLOOKUP(tblKeluar[[#This Row],[Kode Barang]],tblKatalog[],2)</f>
        <v>Kertas A4 @70gr</v>
      </c>
      <c r="D71" s="26" t="str">
        <f>+VLOOKUP(tblKeluar[[#This Row],[Kode Barang]],tblKatalog[],3)</f>
        <v>Kiky @1 Rim</v>
      </c>
      <c r="E71" s="1">
        <v>10</v>
      </c>
      <c r="F71" s="23" t="s">
        <v>454</v>
      </c>
      <c r="G71" s="23" t="s">
        <v>455</v>
      </c>
      <c r="J71" s="24" t="s">
        <v>175</v>
      </c>
      <c r="K71" s="24" t="str">
        <f>+VLOOKUP(J71,tblKatalog[],2)</f>
        <v>Spidol Whiteboard Marker Blue</v>
      </c>
      <c r="L71" s="46">
        <f>+SUMIF($B$8:$B$999975,"GAA066",$E$8:G$999975)</f>
        <v>0</v>
      </c>
    </row>
    <row r="72" spans="1:12" x14ac:dyDescent="0.25">
      <c r="A72" s="21">
        <v>46121</v>
      </c>
      <c r="B72" s="42" t="s">
        <v>147</v>
      </c>
      <c r="C72" s="26" t="str">
        <f>+VLOOKUP(tblKeluar[[#This Row],[Kode Barang]],tblKatalog[],2)</f>
        <v>Kertas A4 @70gr</v>
      </c>
      <c r="D72" s="26" t="str">
        <f>+VLOOKUP(tblKeluar[[#This Row],[Kode Barang]],tblKatalog[],3)</f>
        <v>Kiky @1 Rim</v>
      </c>
      <c r="E72" s="1">
        <v>5</v>
      </c>
      <c r="F72" s="23" t="s">
        <v>225</v>
      </c>
      <c r="G72" s="23" t="s">
        <v>464</v>
      </c>
      <c r="J72" s="24" t="s">
        <v>176</v>
      </c>
      <c r="K72" s="24" t="str">
        <f>+VLOOKUP(J72,tblKatalog[],2)</f>
        <v xml:space="preserve">Spidol Permanent Biru </v>
      </c>
      <c r="L72" s="46">
        <f>+SUMIF($B$8:$B$999975,"GAA067",$E$8:G$999975)</f>
        <v>2</v>
      </c>
    </row>
    <row r="73" spans="1:12" x14ac:dyDescent="0.25">
      <c r="A73" s="21">
        <v>46121</v>
      </c>
      <c r="B73" s="42" t="s">
        <v>147</v>
      </c>
      <c r="C73" s="26" t="str">
        <f>+VLOOKUP(tblKeluar[[#This Row],[Kode Barang]],tblKatalog[],2)</f>
        <v>Kertas A4 @70gr</v>
      </c>
      <c r="D73" s="26" t="str">
        <f>+VLOOKUP(tblKeluar[[#This Row],[Kode Barang]],tblKatalog[],3)</f>
        <v>Kiky @1 Rim</v>
      </c>
      <c r="E73" s="1">
        <v>35</v>
      </c>
      <c r="F73" s="23" t="s">
        <v>233</v>
      </c>
      <c r="G73" s="23" t="s">
        <v>460</v>
      </c>
      <c r="J73" s="24" t="s">
        <v>177</v>
      </c>
      <c r="K73" s="24" t="str">
        <f>+VLOOKUP(J73,tblKatalog[],2)</f>
        <v>Tip-X</v>
      </c>
      <c r="L73" s="46">
        <f>+SUMIF($B$8:$B$999975,"GAA068",$E$8:G$999975)</f>
        <v>5</v>
      </c>
    </row>
    <row r="74" spans="1:12" x14ac:dyDescent="0.25">
      <c r="A74" s="21">
        <v>46121</v>
      </c>
      <c r="B74" s="42" t="s">
        <v>25</v>
      </c>
      <c r="C74" s="26" t="str">
        <f>+VLOOKUP(tblKeluar[[#This Row],[Kode Barang]],tblKatalog[],2)</f>
        <v>Map F4</v>
      </c>
      <c r="D74" s="26" t="str">
        <f>+VLOOKUP(tblKeluar[[#This Row],[Kode Barang]],tblKatalog[],3)</f>
        <v>Biola @1 Pack = 50 pcs</v>
      </c>
      <c r="E74" s="1">
        <v>1</v>
      </c>
      <c r="F74" s="23" t="s">
        <v>458</v>
      </c>
      <c r="G74" s="23" t="s">
        <v>459</v>
      </c>
      <c r="J74" s="24" t="s">
        <v>178</v>
      </c>
      <c r="K74" s="24" t="str">
        <f>+VLOOKUP(J74,tblKatalog[],2)</f>
        <v>Kwitansi Besar</v>
      </c>
      <c r="L74" s="46">
        <f>+SUMIF($B$8:$B$999975,"GAA069",$E$8:G$999975)</f>
        <v>0</v>
      </c>
    </row>
    <row r="75" spans="1:12" x14ac:dyDescent="0.25">
      <c r="A75" s="21">
        <v>46121</v>
      </c>
      <c r="B75" s="42" t="s">
        <v>127</v>
      </c>
      <c r="C75" s="26" t="str">
        <f>+VLOOKUP(tblKeluar[[#This Row],[Kode Barang]],tblKatalog[],2)</f>
        <v>Amplop Coklat ARKA</v>
      </c>
      <c r="D75" s="26" t="str">
        <f>+VLOOKUP(tblKeluar[[#This Row],[Kode Barang]],tblKatalog[],3)</f>
        <v>@A4</v>
      </c>
      <c r="E75" s="1">
        <v>1</v>
      </c>
      <c r="F75" s="23" t="s">
        <v>445</v>
      </c>
      <c r="G75" s="23" t="s">
        <v>463</v>
      </c>
      <c r="J75" s="24" t="s">
        <v>179</v>
      </c>
      <c r="K75" s="24" t="str">
        <f>+VLOOKUP(J75,tblKatalog[],2)</f>
        <v>Penggaris</v>
      </c>
      <c r="L75" s="46">
        <f>+SUMIF($B$8:$B$999975,"GAA070",$E$8:G$999975)</f>
        <v>0</v>
      </c>
    </row>
    <row r="76" spans="1:12" x14ac:dyDescent="0.25">
      <c r="A76" s="21">
        <v>46121</v>
      </c>
      <c r="B76" s="42" t="s">
        <v>35</v>
      </c>
      <c r="C76" s="26" t="str">
        <f>+VLOOKUP(tblKeluar[[#This Row],[Kode Barang]],tblKatalog[],2)</f>
        <v>Amplop Putih ARKA</v>
      </c>
      <c r="D76" s="26" t="str">
        <f>+VLOOKUP(tblKeluar[[#This Row],[Kode Barang]],tblKatalog[],3)</f>
        <v>@90</v>
      </c>
      <c r="E76" s="1">
        <v>1</v>
      </c>
      <c r="F76" s="23" t="s">
        <v>445</v>
      </c>
      <c r="G76" s="23" t="s">
        <v>463</v>
      </c>
      <c r="J76" s="24" t="s">
        <v>180</v>
      </c>
      <c r="K76" s="24" t="str">
        <f>+VLOOKUP(J76,tblKatalog[],2)</f>
        <v xml:space="preserve">Post It Kecil </v>
      </c>
      <c r="L76" s="46">
        <f>+SUMIF($B$8:$B$999975,"GAA071",$E$8:G$999975)</f>
        <v>17</v>
      </c>
    </row>
    <row r="77" spans="1:12" x14ac:dyDescent="0.25">
      <c r="A77" s="21">
        <v>46121</v>
      </c>
      <c r="B77" s="42" t="s">
        <v>34</v>
      </c>
      <c r="C77" s="26" t="str">
        <f>+VLOOKUP(tblKeluar[[#This Row],[Kode Barang]],tblKatalog[],2)</f>
        <v xml:space="preserve">Amplop Putih Polos </v>
      </c>
      <c r="D77" s="26" t="str">
        <f>+VLOOKUP(tblKeluar[[#This Row],[Kode Barang]],tblKatalog[],3)</f>
        <v>Paperline @90</v>
      </c>
      <c r="E77" s="1">
        <v>2</v>
      </c>
      <c r="F77" s="23" t="s">
        <v>445</v>
      </c>
      <c r="G77" s="23" t="s">
        <v>463</v>
      </c>
      <c r="J77" s="24" t="s">
        <v>181</v>
      </c>
      <c r="K77" s="24" t="str">
        <f>+VLOOKUP(J77,tblKatalog[],2)</f>
        <v xml:space="preserve">Post It Besar </v>
      </c>
      <c r="L77" s="46">
        <f>+SUMIF($B$8:$B$999975,"GAA072,",$E$8:G$999975)</f>
        <v>0</v>
      </c>
    </row>
    <row r="78" spans="1:12" x14ac:dyDescent="0.25">
      <c r="A78" s="21">
        <v>46121</v>
      </c>
      <c r="B78" s="42" t="s">
        <v>34</v>
      </c>
      <c r="C78" s="26" t="str">
        <f>+VLOOKUP(tblKeluar[[#This Row],[Kode Barang]],tblKatalog[],2)</f>
        <v xml:space="preserve">Amplop Putih Polos </v>
      </c>
      <c r="D78" s="26" t="str">
        <f>+VLOOKUP(tblKeluar[[#This Row],[Kode Barang]],tblKatalog[],3)</f>
        <v>Paperline @90</v>
      </c>
      <c r="E78" s="1">
        <v>1</v>
      </c>
      <c r="F78" s="23" t="s">
        <v>456</v>
      </c>
      <c r="G78" s="23" t="s">
        <v>457</v>
      </c>
      <c r="J78" s="24" t="s">
        <v>182</v>
      </c>
      <c r="K78" s="24" t="str">
        <f>+VLOOKUP(J78,tblKatalog[],2)</f>
        <v>Spon Air</v>
      </c>
      <c r="L78" s="46">
        <f>+SUMIF($B$8:$B$999975,"GAA073",$E$8:G$999975)</f>
        <v>0</v>
      </c>
    </row>
    <row r="79" spans="1:12" x14ac:dyDescent="0.25">
      <c r="A79" s="21">
        <v>46121</v>
      </c>
      <c r="B79" s="42" t="s">
        <v>24</v>
      </c>
      <c r="C79" s="26" t="str">
        <f>+VLOOKUP(tblKeluar[[#This Row],[Kode Barang]],tblKatalog[],2)</f>
        <v>Amplop Coklat F4</v>
      </c>
      <c r="D79" s="26" t="str">
        <f>+VLOOKUP(tblKeluar[[#This Row],[Kode Barang]],tblKatalog[],3)</f>
        <v>Garda @1 Pack = 100 pcs</v>
      </c>
      <c r="E79" s="1">
        <v>1</v>
      </c>
      <c r="F79" s="23" t="s">
        <v>461</v>
      </c>
      <c r="G79" s="23" t="s">
        <v>462</v>
      </c>
      <c r="J79" s="24" t="s">
        <v>183</v>
      </c>
      <c r="K79" s="24" t="str">
        <f>+VLOOKUP(J79,tblKatalog[],2)</f>
        <v>Tinta Merah Stamp Pad</v>
      </c>
      <c r="L79" s="46">
        <f>+SUMIF($B$8:$B$999975,"GAA074",$E$8:G$999975)</f>
        <v>0</v>
      </c>
    </row>
    <row r="80" spans="1:12" x14ac:dyDescent="0.25">
      <c r="A80" s="21">
        <v>46121</v>
      </c>
      <c r="B80" s="42" t="s">
        <v>36</v>
      </c>
      <c r="C80" s="26" t="str">
        <f>+VLOOKUP(tblKeluar[[#This Row],[Kode Barang]],tblKatalog[],2)</f>
        <v>Pocket Note</v>
      </c>
      <c r="D80" s="26" t="str">
        <f>+VLOOKUP(tblKeluar[[#This Row],[Kode Barang]],tblKatalog[],3)</f>
        <v>Erica @156</v>
      </c>
      <c r="E80" s="1">
        <v>1</v>
      </c>
      <c r="F80" s="23" t="s">
        <v>461</v>
      </c>
      <c r="G80" s="23" t="s">
        <v>462</v>
      </c>
      <c r="J80" s="24" t="s">
        <v>184</v>
      </c>
      <c r="K80" s="24" t="str">
        <f>+VLOOKUP(J80,tblKatalog[],2)</f>
        <v xml:space="preserve">Amplop Coklat Kecil </v>
      </c>
      <c r="L80" s="46">
        <f>+SUMIF($B$8:$B$999975,"GAA075",$E$8:G$999975)</f>
        <v>2</v>
      </c>
    </row>
    <row r="81" spans="1:12" x14ac:dyDescent="0.25">
      <c r="A81" s="21">
        <v>46121</v>
      </c>
      <c r="B81" s="42" t="s">
        <v>70</v>
      </c>
      <c r="C81" s="26" t="str">
        <f>+VLOOKUP(tblKeluar[[#This Row],[Kode Barang]],tblKatalog[],2)</f>
        <v>Notebook</v>
      </c>
      <c r="D81" s="26" t="str">
        <f>+VLOOKUP(tblKeluar[[#This Row],[Kode Barang]],tblKatalog[],3)</f>
        <v>Paperline @A5</v>
      </c>
      <c r="E81" s="1">
        <v>5</v>
      </c>
      <c r="F81" s="23" t="s">
        <v>458</v>
      </c>
      <c r="G81" s="23" t="s">
        <v>459</v>
      </c>
      <c r="J81" s="24" t="s">
        <v>185</v>
      </c>
      <c r="K81" s="24" t="str">
        <f>+VLOOKUP(J81,tblKatalog[],2)</f>
        <v>Pensil Faber Castell 2B</v>
      </c>
      <c r="L81" s="46">
        <f>+SUMIF($B$8:$B$999975,"GAA076",$E$8:G$999975)</f>
        <v>0</v>
      </c>
    </row>
    <row r="82" spans="1:12" x14ac:dyDescent="0.25">
      <c r="A82" s="21">
        <v>46121</v>
      </c>
      <c r="B82" s="42" t="s">
        <v>348</v>
      </c>
      <c r="C82" s="26" t="str">
        <f>+VLOOKUP(tblKeluar[[#This Row],[Kode Barang]],tblKatalog[],2)</f>
        <v>Pulpen Gel Hitam 0,5mm</v>
      </c>
      <c r="D82" s="26" t="str">
        <f>+VLOOKUP(tblKeluar[[#This Row],[Kode Barang]],tblKatalog[],3)</f>
        <v>Kenko @1box=12ea</v>
      </c>
      <c r="E82" s="1">
        <v>2</v>
      </c>
      <c r="F82" s="23" t="s">
        <v>456</v>
      </c>
      <c r="G82" s="23" t="s">
        <v>457</v>
      </c>
      <c r="J82" s="24" t="s">
        <v>186</v>
      </c>
      <c r="K82" s="24" t="str">
        <f>+VLOOKUP(J82,tblKatalog[],2)</f>
        <v>Lakban Hitam Besar</v>
      </c>
      <c r="L82" s="46">
        <f>+SUMIF($B$8:$B$999975,"GAA077",$E$8:G$999975)</f>
        <v>7</v>
      </c>
    </row>
    <row r="83" spans="1:12" x14ac:dyDescent="0.25">
      <c r="A83" s="21">
        <v>46121</v>
      </c>
      <c r="B83" s="42" t="s">
        <v>278</v>
      </c>
      <c r="C83" s="26" t="str">
        <f>+VLOOKUP(tblKeluar[[#This Row],[Kode Barang]],tblKatalog[],2)</f>
        <v>Pulpen 4 Warna</v>
      </c>
      <c r="D83" s="26" t="str">
        <f>+VLOOKUP(tblKeluar[[#This Row],[Kode Barang]],tblKatalog[],3)</f>
        <v>Snowman</v>
      </c>
      <c r="E83" s="1">
        <v>12</v>
      </c>
      <c r="F83" s="23" t="s">
        <v>233</v>
      </c>
      <c r="G83" s="23" t="s">
        <v>460</v>
      </c>
      <c r="J83" s="24" t="s">
        <v>187</v>
      </c>
      <c r="K83" s="24" t="str">
        <f>+VLOOKUP(J83,tblKatalog[],2)</f>
        <v>Penggaris 20cm</v>
      </c>
      <c r="L83" s="46">
        <f>+SUMIF($B$8:$B$999975,"GAA078",$E$8:G$999975)</f>
        <v>0</v>
      </c>
    </row>
    <row r="84" spans="1:12" x14ac:dyDescent="0.25">
      <c r="A84" s="21">
        <v>46121</v>
      </c>
      <c r="B84" s="42" t="s">
        <v>278</v>
      </c>
      <c r="C84" s="26" t="str">
        <f>+VLOOKUP(tblKeluar[[#This Row],[Kode Barang]],tblKatalog[],2)</f>
        <v>Pulpen 4 Warna</v>
      </c>
      <c r="D84" s="26" t="str">
        <f>+VLOOKUP(tblKeluar[[#This Row],[Kode Barang]],tblKatalog[],3)</f>
        <v>Snowman</v>
      </c>
      <c r="E84" s="1">
        <v>24</v>
      </c>
      <c r="F84" s="23" t="s">
        <v>458</v>
      </c>
      <c r="G84" s="23" t="s">
        <v>459</v>
      </c>
      <c r="J84" s="24" t="s">
        <v>220</v>
      </c>
      <c r="K84" s="24" t="str">
        <f>+VLOOKUP(J84,tblKatalog[],2)</f>
        <v>Paper Fastener</v>
      </c>
      <c r="L84" s="46">
        <f>+SUMIF($B$8:$B$999975,"GAA079",$E$8:G$999975)</f>
        <v>0</v>
      </c>
    </row>
    <row r="85" spans="1:12" x14ac:dyDescent="0.25">
      <c r="A85" s="21">
        <v>46121</v>
      </c>
      <c r="B85" s="42" t="s">
        <v>323</v>
      </c>
      <c r="C85" s="26" t="str">
        <f>+VLOOKUP(tblKeluar[[#This Row],[Kode Barang]],tblKatalog[],2)</f>
        <v>Tip-X Kertas</v>
      </c>
      <c r="D85" s="26" t="str">
        <f>+VLOOKUP(tblKeluar[[#This Row],[Kode Barang]],tblKatalog[],3)</f>
        <v xml:space="preserve">Joyko </v>
      </c>
      <c r="E85" s="1">
        <v>2</v>
      </c>
      <c r="F85" s="23" t="s">
        <v>456</v>
      </c>
      <c r="G85" s="23" t="s">
        <v>457</v>
      </c>
      <c r="J85" s="24" t="s">
        <v>221</v>
      </c>
      <c r="K85" s="24" t="str">
        <f>+VLOOKUP(J85,tblKatalog[],2)</f>
        <v>Baterai AA ABC</v>
      </c>
      <c r="L85" s="46">
        <f>+SUMIF($B$8:$B$999975,"GAA080",$E$8:G$999975)</f>
        <v>83</v>
      </c>
    </row>
    <row r="86" spans="1:12" x14ac:dyDescent="0.25">
      <c r="A86" s="21">
        <v>46121</v>
      </c>
      <c r="B86" s="42" t="s">
        <v>177</v>
      </c>
      <c r="C86" s="26" t="str">
        <f>+VLOOKUP(tblKeluar[[#This Row],[Kode Barang]],tblKatalog[],2)</f>
        <v>Tip-X</v>
      </c>
      <c r="D86" s="26" t="str">
        <f>+VLOOKUP(tblKeluar[[#This Row],[Kode Barang]],tblKatalog[],3)</f>
        <v>Joyko</v>
      </c>
      <c r="E86" s="1">
        <v>3</v>
      </c>
      <c r="F86" s="23" t="s">
        <v>456</v>
      </c>
      <c r="G86" s="23" t="s">
        <v>457</v>
      </c>
      <c r="J86" s="24" t="s">
        <v>222</v>
      </c>
      <c r="K86" s="24" t="str">
        <f>+VLOOKUP(J86,tblKatalog[],2)</f>
        <v>Kertas Cover Buffalo Biru F4</v>
      </c>
      <c r="L86" s="46">
        <f>+SUMIF($B$8:$B$999975,"GAA081",$E$8:G$999975)</f>
        <v>0</v>
      </c>
    </row>
    <row r="87" spans="1:12" x14ac:dyDescent="0.25">
      <c r="A87" s="21">
        <v>46121</v>
      </c>
      <c r="B87" s="42" t="s">
        <v>177</v>
      </c>
      <c r="C87" s="26" t="str">
        <f>+VLOOKUP(tblKeluar[[#This Row],[Kode Barang]],tblKatalog[],2)</f>
        <v>Tip-X</v>
      </c>
      <c r="D87" s="26" t="str">
        <f>+VLOOKUP(tblKeluar[[#This Row],[Kode Barang]],tblKatalog[],3)</f>
        <v>Joyko</v>
      </c>
      <c r="E87" s="1">
        <v>2</v>
      </c>
      <c r="F87" s="23" t="s">
        <v>228</v>
      </c>
      <c r="G87" s="23" t="s">
        <v>446</v>
      </c>
      <c r="J87" s="24" t="s">
        <v>223</v>
      </c>
      <c r="K87" s="24" t="str">
        <f>+VLOOKUP(J87,tblKatalog[],2)</f>
        <v>Kertas Cover Buffalo Hijau F4</v>
      </c>
      <c r="L87" s="46">
        <f>+SUMIF($B$8:$B$999975,"GAA082",$E$8:G$999975)</f>
        <v>0</v>
      </c>
    </row>
    <row r="88" spans="1:12" x14ac:dyDescent="0.25">
      <c r="A88" s="21">
        <v>46121</v>
      </c>
      <c r="B88" s="42" t="s">
        <v>39</v>
      </c>
      <c r="C88" s="26" t="str">
        <f>+VLOOKUP(tblKeluar[[#This Row],[Kode Barang]],tblKatalog[],2)</f>
        <v xml:space="preserve">Stabilo Orange </v>
      </c>
      <c r="D88" s="26" t="str">
        <f>+VLOOKUP(tblKeluar[[#This Row],[Kode Barang]],tblKatalog[],3)</f>
        <v>Joyko @HL-2</v>
      </c>
      <c r="E88" s="1">
        <v>4</v>
      </c>
      <c r="F88" s="23" t="s">
        <v>456</v>
      </c>
      <c r="G88" s="23" t="s">
        <v>457</v>
      </c>
      <c r="J88" s="24" t="s">
        <v>249</v>
      </c>
      <c r="K88" s="24" t="str">
        <f>+VLOOKUP(J88,tblKatalog[],2)</f>
        <v>Kertas Cover Buffalo Merah F4</v>
      </c>
      <c r="L88" s="46">
        <f>+SUMIF($B$8:$B$999975,"GAA083",$E$8:G$999975)</f>
        <v>0</v>
      </c>
    </row>
    <row r="89" spans="1:12" x14ac:dyDescent="0.25">
      <c r="A89" s="21">
        <v>46121</v>
      </c>
      <c r="B89" s="42" t="s">
        <v>300</v>
      </c>
      <c r="C89" s="26" t="str">
        <f>+VLOOKUP(tblKeluar[[#This Row],[Kode Barang]],tblKatalog[],2)</f>
        <v>Lem Stick Kecil</v>
      </c>
      <c r="D89" s="26" t="str">
        <f>+VLOOKUP(tblKeluar[[#This Row],[Kode Barang]],tblKatalog[],3)</f>
        <v>UHU Kecil</v>
      </c>
      <c r="E89" s="1">
        <v>1</v>
      </c>
      <c r="F89" s="23" t="s">
        <v>458</v>
      </c>
      <c r="G89" s="23" t="s">
        <v>459</v>
      </c>
      <c r="J89" s="24" t="s">
        <v>250</v>
      </c>
      <c r="K89" s="24" t="str">
        <f>+VLOOKUP(J89,tblKatalog[],2)</f>
        <v>Gunting Sedang</v>
      </c>
      <c r="L89" s="46">
        <f>+SUMIF($B$8:$B$999975,"GAA084",$E$8:G$999975)</f>
        <v>5</v>
      </c>
    </row>
    <row r="90" spans="1:12" x14ac:dyDescent="0.25">
      <c r="A90" s="21">
        <v>46121</v>
      </c>
      <c r="B90" s="42" t="s">
        <v>152</v>
      </c>
      <c r="C90" s="26" t="str">
        <f>+VLOOKUP(tblKeluar[[#This Row],[Kode Barang]],tblKatalog[],2)</f>
        <v>Binder Clips@No.260</v>
      </c>
      <c r="D90" s="26" t="str">
        <f>+VLOOKUP(tblKeluar[[#This Row],[Kode Barang]],tblKatalog[],3)</f>
        <v>Kenko @1box</v>
      </c>
      <c r="E90" s="1">
        <v>3</v>
      </c>
      <c r="F90" s="23" t="s">
        <v>454</v>
      </c>
      <c r="G90" s="23" t="s">
        <v>455</v>
      </c>
      <c r="J90" s="24" t="s">
        <v>251</v>
      </c>
      <c r="K90" s="24" t="str">
        <f>+VLOOKUP(J90,tblKatalog[],2)</f>
        <v>Cutter</v>
      </c>
      <c r="L90" s="46">
        <f>+SUMIF($B$8:$B$999975,"GAA085",$E$8:G$999975)</f>
        <v>3</v>
      </c>
    </row>
    <row r="91" spans="1:12" x14ac:dyDescent="0.25">
      <c r="A91" s="21">
        <v>46121</v>
      </c>
      <c r="B91" s="42" t="s">
        <v>21</v>
      </c>
      <c r="C91" s="26" t="str">
        <f>+VLOOKUP(tblKeluar[[#This Row],[Kode Barang]],tblKatalog[],2)</f>
        <v>Binder Clips@No.200</v>
      </c>
      <c r="D91" s="26" t="str">
        <f>+VLOOKUP(tblKeluar[[#This Row],[Kode Barang]],tblKatalog[],3)</f>
        <v>Pop 1 @1box = 12 pcs</v>
      </c>
      <c r="E91" s="1">
        <v>6</v>
      </c>
      <c r="F91" s="23" t="s">
        <v>454</v>
      </c>
      <c r="G91" s="23" t="s">
        <v>455</v>
      </c>
      <c r="J91" s="24" t="s">
        <v>255</v>
      </c>
      <c r="K91" s="24" t="str">
        <f>+VLOOKUP(J91,tblKatalog[],2)</f>
        <v>Lem Stick Besar</v>
      </c>
      <c r="L91" s="46">
        <f>+SUMIF($B$8:$B$999975,"GAA086",$E$8:G$999975)</f>
        <v>0</v>
      </c>
    </row>
    <row r="92" spans="1:12" x14ac:dyDescent="0.25">
      <c r="A92" s="21">
        <v>46121</v>
      </c>
      <c r="B92" s="42" t="s">
        <v>111</v>
      </c>
      <c r="C92" s="26" t="str">
        <f>+VLOOKUP(tblKeluar[[#This Row],[Kode Barang]],tblKatalog[],2)</f>
        <v>Baterai AAA ABC</v>
      </c>
      <c r="D92" s="26" t="str">
        <f>+VLOOKUP(tblKeluar[[#This Row],[Kode Barang]],tblKatalog[],3)</f>
        <v>ABC Alkaline</v>
      </c>
      <c r="E92" s="1">
        <v>10</v>
      </c>
      <c r="F92" s="23" t="s">
        <v>454</v>
      </c>
      <c r="G92" s="23" t="s">
        <v>455</v>
      </c>
      <c r="J92" s="24" t="s">
        <v>256</v>
      </c>
      <c r="K92" s="24" t="str">
        <f>+VLOOKUP(J92,tblKatalog[],2)</f>
        <v>Glossy Sticker Paper</v>
      </c>
      <c r="L92" s="46">
        <f>+SUMIF($B$8:$B$999975,"GAA087",$E$8:G$999975)</f>
        <v>4</v>
      </c>
    </row>
    <row r="93" spans="1:12" x14ac:dyDescent="0.25">
      <c r="A93" s="21">
        <v>46121</v>
      </c>
      <c r="B93" s="42" t="s">
        <v>111</v>
      </c>
      <c r="C93" s="26" t="str">
        <f>+VLOOKUP(tblKeluar[[#This Row],[Kode Barang]],tblKatalog[],2)</f>
        <v>Baterai AAA ABC</v>
      </c>
      <c r="D93" s="26" t="str">
        <f>+VLOOKUP(tblKeluar[[#This Row],[Kode Barang]],tblKatalog[],3)</f>
        <v>ABC Alkaline</v>
      </c>
      <c r="E93" s="1">
        <v>48</v>
      </c>
      <c r="F93" s="23" t="s">
        <v>228</v>
      </c>
      <c r="G93" s="23" t="s">
        <v>446</v>
      </c>
      <c r="J93" s="24" t="s">
        <v>261</v>
      </c>
      <c r="K93" s="24" t="str">
        <f>+VLOOKUP(J93,tblKatalog[],2)</f>
        <v xml:space="preserve">Tape Cutter Besar </v>
      </c>
      <c r="L93" s="46">
        <f>+SUMIF($B$8:$B$999975,"GAA088",$E$8:G$999975)</f>
        <v>0</v>
      </c>
    </row>
    <row r="94" spans="1:12" x14ac:dyDescent="0.25">
      <c r="A94" s="21">
        <v>46121</v>
      </c>
      <c r="B94" s="42" t="s">
        <v>221</v>
      </c>
      <c r="C94" s="26" t="str">
        <f>+VLOOKUP(tblKeluar[[#This Row],[Kode Barang]],tblKatalog[],2)</f>
        <v>Baterai AA ABC</v>
      </c>
      <c r="D94" s="26" t="str">
        <f>+VLOOKUP(tblKeluar[[#This Row],[Kode Barang]],tblKatalog[],3)</f>
        <v>ABC Alkaline</v>
      </c>
      <c r="E94" s="1">
        <v>10</v>
      </c>
      <c r="F94" s="23" t="s">
        <v>454</v>
      </c>
      <c r="G94" s="23" t="s">
        <v>455</v>
      </c>
      <c r="J94" s="24" t="s">
        <v>263</v>
      </c>
      <c r="K94" s="24" t="str">
        <f>+VLOOKUP(J94,tblKatalog[],2)</f>
        <v>Ballpoint OPF/OPM Permanent</v>
      </c>
      <c r="L94" s="46">
        <f>+SUMIF($B$8:$B$999975,"GAA089",$E$8:G$999975)</f>
        <v>0</v>
      </c>
    </row>
    <row r="95" spans="1:12" x14ac:dyDescent="0.25">
      <c r="A95" s="21">
        <v>46121</v>
      </c>
      <c r="B95" s="42" t="s">
        <v>221</v>
      </c>
      <c r="C95" s="26" t="str">
        <f>+VLOOKUP(tblKeluar[[#This Row],[Kode Barang]],tblKatalog[],2)</f>
        <v>Baterai AA ABC</v>
      </c>
      <c r="D95" s="26" t="str">
        <f>+VLOOKUP(tblKeluar[[#This Row],[Kode Barang]],tblKatalog[],3)</f>
        <v>ABC Alkaline</v>
      </c>
      <c r="E95" s="1">
        <v>48</v>
      </c>
      <c r="F95" s="23" t="s">
        <v>228</v>
      </c>
      <c r="G95" s="23" t="s">
        <v>446</v>
      </c>
      <c r="J95" s="24" t="s">
        <v>265</v>
      </c>
      <c r="K95" s="24" t="str">
        <f>+VLOOKUP(J95,tblKatalog[],2)</f>
        <v>Battery 9 Volt</v>
      </c>
      <c r="L95" s="46">
        <f>+SUMIF($B$8:$B$999975,"GAA090",$E$8:G$999975)</f>
        <v>12</v>
      </c>
    </row>
    <row r="96" spans="1:12" x14ac:dyDescent="0.25">
      <c r="A96" s="21">
        <v>46121</v>
      </c>
      <c r="B96" s="42" t="s">
        <v>265</v>
      </c>
      <c r="C96" s="26" t="str">
        <f>+VLOOKUP(tblKeluar[[#This Row],[Kode Barang]],tblKatalog[],2)</f>
        <v>Battery 9 Volt</v>
      </c>
      <c r="D96" s="26" t="str">
        <f>+VLOOKUP(tblKeluar[[#This Row],[Kode Barang]],tblKatalog[],3)</f>
        <v>ABC Alkaline (1 Kotak = 12 ea)</v>
      </c>
      <c r="E96" s="1">
        <v>12</v>
      </c>
      <c r="F96" s="23" t="s">
        <v>228</v>
      </c>
      <c r="G96" s="23" t="s">
        <v>446</v>
      </c>
      <c r="J96" s="24" t="s">
        <v>268</v>
      </c>
      <c r="K96" s="24" t="str">
        <f>+VLOOKUP(J96,tblKatalog[],2)</f>
        <v xml:space="preserve">Lakban Kertas Kecil </v>
      </c>
      <c r="L96" s="46">
        <f>+SUMIF($B$8:$B$999975,"GAA091",$E$8:G$999975)</f>
        <v>0</v>
      </c>
    </row>
    <row r="97" spans="1:12" x14ac:dyDescent="0.25">
      <c r="A97" s="21">
        <v>46121</v>
      </c>
      <c r="B97" s="42" t="s">
        <v>79</v>
      </c>
      <c r="C97" s="26" t="str">
        <f>+VLOOKUP(tblKeluar[[#This Row],[Kode Barang]],tblKatalog[],2)</f>
        <v>Spidol Whiteboard Marker Black</v>
      </c>
      <c r="D97" s="26" t="str">
        <f>+VLOOKUP(tblKeluar[[#This Row],[Kode Barang]],tblKatalog[],3)</f>
        <v>Snowman BG-12</v>
      </c>
      <c r="E97" s="1">
        <v>3</v>
      </c>
      <c r="F97" s="23" t="s">
        <v>454</v>
      </c>
      <c r="G97" s="23" t="s">
        <v>455</v>
      </c>
      <c r="J97" s="24" t="s">
        <v>271</v>
      </c>
      <c r="K97" s="24" t="str">
        <f>+VLOOKUP(J97,tblKatalog[],2)</f>
        <v xml:space="preserve">Lem Castol </v>
      </c>
      <c r="L97" s="46">
        <f>+SUMIF($B$8:$B$999975,"GAA092",$E$8:G$999975)</f>
        <v>0</v>
      </c>
    </row>
    <row r="98" spans="1:12" x14ac:dyDescent="0.25">
      <c r="A98" s="21">
        <v>46121</v>
      </c>
      <c r="B98" s="42" t="s">
        <v>20</v>
      </c>
      <c r="C98" s="26" t="str">
        <f>+VLOOKUP(tblKeluar[[#This Row],[Kode Barang]],tblKatalog[],2)</f>
        <v>Binder Clips@No.105</v>
      </c>
      <c r="D98" s="26" t="str">
        <f>+VLOOKUP(tblKeluar[[#This Row],[Kode Barang]],tblKatalog[],3)</f>
        <v>Kenko @1box kecil = 12 pcs</v>
      </c>
      <c r="E98" s="1">
        <v>12</v>
      </c>
      <c r="F98" s="23" t="s">
        <v>454</v>
      </c>
      <c r="G98" s="23" t="s">
        <v>455</v>
      </c>
      <c r="J98" s="24" t="s">
        <v>274</v>
      </c>
      <c r="K98" s="24" t="str">
        <f>+VLOOKUP(J98,tblKatalog[],2)</f>
        <v>Amplop Besar</v>
      </c>
      <c r="L98" s="46">
        <f>+SUMIF($B$8:$B$999975,"GAA093",$E$8:G$999975)</f>
        <v>1</v>
      </c>
    </row>
    <row r="99" spans="1:12" x14ac:dyDescent="0.25">
      <c r="A99" s="21">
        <v>46121</v>
      </c>
      <c r="B99" s="42" t="s">
        <v>34</v>
      </c>
      <c r="C99" s="26" t="str">
        <f>+VLOOKUP(tblKeluar[[#This Row],[Kode Barang]],tblKatalog[],2)</f>
        <v xml:space="preserve">Amplop Putih Polos </v>
      </c>
      <c r="D99" s="26" t="str">
        <f>+VLOOKUP(tblKeluar[[#This Row],[Kode Barang]],tblKatalog[],3)</f>
        <v>Paperline @90</v>
      </c>
      <c r="E99" s="1">
        <v>1</v>
      </c>
      <c r="F99" s="23" t="s">
        <v>405</v>
      </c>
      <c r="G99" s="23" t="s">
        <v>443</v>
      </c>
      <c r="J99" s="24" t="s">
        <v>275</v>
      </c>
      <c r="K99" s="24" t="str">
        <f>+VLOOKUP(J99,tblKatalog[],2)</f>
        <v>Amplop A3</v>
      </c>
      <c r="L99" s="46">
        <f>+SUMIF($B$8:$B$999975,"GAA094",$E$8:G$999975)</f>
        <v>1</v>
      </c>
    </row>
    <row r="100" spans="1:12" x14ac:dyDescent="0.25">
      <c r="A100" s="21">
        <v>46121</v>
      </c>
      <c r="B100" s="42" t="s">
        <v>35</v>
      </c>
      <c r="C100" s="26" t="str">
        <f>+VLOOKUP(tblKeluar[[#This Row],[Kode Barang]],tblKatalog[],2)</f>
        <v>Amplop Putih ARKA</v>
      </c>
      <c r="D100" s="26" t="str">
        <f>+VLOOKUP(tblKeluar[[#This Row],[Kode Barang]],tblKatalog[],3)</f>
        <v>@90</v>
      </c>
      <c r="E100" s="1">
        <v>1</v>
      </c>
      <c r="F100" s="23" t="s">
        <v>405</v>
      </c>
      <c r="G100" s="23" t="s">
        <v>443</v>
      </c>
      <c r="J100" s="24" t="s">
        <v>278</v>
      </c>
      <c r="K100" s="24" t="str">
        <f>+VLOOKUP(J100,tblKatalog[],2)</f>
        <v>Pulpen 4 Warna</v>
      </c>
      <c r="L100" s="46">
        <f>+SUMIF($B$8:$B$999975,"GAA095",$E$8:G$999975)</f>
        <v>74</v>
      </c>
    </row>
    <row r="101" spans="1:12" x14ac:dyDescent="0.25">
      <c r="A101" s="21">
        <v>46121</v>
      </c>
      <c r="B101" s="42" t="s">
        <v>148</v>
      </c>
      <c r="C101" s="26" t="str">
        <f>+VLOOKUP(tblKeluar[[#This Row],[Kode Barang]],tblKatalog[],2)</f>
        <v>Kertas F4 @70gr</v>
      </c>
      <c r="D101" s="26" t="str">
        <f>+VLOOKUP(tblKeluar[[#This Row],[Kode Barang]],tblKatalog[],3)</f>
        <v>Bola Dunia @1 Rim</v>
      </c>
      <c r="E101" s="1">
        <v>1</v>
      </c>
      <c r="F101" s="23" t="s">
        <v>405</v>
      </c>
      <c r="G101" s="23" t="s">
        <v>443</v>
      </c>
      <c r="J101" s="24" t="s">
        <v>281</v>
      </c>
      <c r="K101" s="24" t="str">
        <f>+VLOOKUP(J101,tblKatalog[],2)</f>
        <v>Lakban Merah Besar</v>
      </c>
      <c r="L101" s="46">
        <f>+SUMIF($B$8:$B$999975,"GAA096",$E$8:G$999975)</f>
        <v>0</v>
      </c>
    </row>
    <row r="102" spans="1:12" x14ac:dyDescent="0.25">
      <c r="A102" s="21">
        <v>46121</v>
      </c>
      <c r="B102" s="42" t="s">
        <v>141</v>
      </c>
      <c r="C102" s="26" t="str">
        <f>+VLOOKUP(tblKeluar[[#This Row],[Kode Barang]],tblKatalog[],2)</f>
        <v>Map Holder Bening</v>
      </c>
      <c r="D102" s="26" t="str">
        <f>+VLOOKUP(tblKeluar[[#This Row],[Kode Barang]],tblKatalog[],3)</f>
        <v>@F4</v>
      </c>
      <c r="E102" s="1">
        <v>1</v>
      </c>
      <c r="F102" s="23" t="s">
        <v>405</v>
      </c>
      <c r="G102" s="23" t="s">
        <v>443</v>
      </c>
      <c r="J102" s="24" t="s">
        <v>284</v>
      </c>
      <c r="K102" s="24" t="str">
        <f>+VLOOKUP(J102,tblKatalog[],2)</f>
        <v>Lem Alteco</v>
      </c>
      <c r="L102" s="46">
        <f>+SUMIF($B$8:$B$999975,"GAA097",$E$8:G$999975)</f>
        <v>0</v>
      </c>
    </row>
    <row r="103" spans="1:12" x14ac:dyDescent="0.25">
      <c r="A103" s="21">
        <v>46121</v>
      </c>
      <c r="B103" s="42" t="s">
        <v>184</v>
      </c>
      <c r="C103" s="26" t="str">
        <f>+VLOOKUP(tblKeluar[[#This Row],[Kode Barang]],tblKatalog[],2)</f>
        <v xml:space="preserve">Amplop Coklat Kecil </v>
      </c>
      <c r="D103" s="26" t="str">
        <f>+VLOOKUP(tblKeluar[[#This Row],[Kode Barang]],tblKatalog[],3)</f>
        <v>Jaya @1Pack = 100 Ea</v>
      </c>
      <c r="E103" s="1">
        <v>1</v>
      </c>
      <c r="F103" s="23" t="s">
        <v>405</v>
      </c>
      <c r="G103" s="23" t="s">
        <v>443</v>
      </c>
      <c r="J103" s="24" t="s">
        <v>285</v>
      </c>
      <c r="K103" s="24" t="str">
        <f>+VLOOKUP(J103,tblKatalog[],2)</f>
        <v>Nota 1 Ply</v>
      </c>
      <c r="L103" s="46">
        <f>+SUMIF($B$8:$B$999975,"GAA098",$E$8:G$999975)</f>
        <v>10</v>
      </c>
    </row>
    <row r="104" spans="1:12" x14ac:dyDescent="0.25">
      <c r="A104" s="21">
        <v>46121</v>
      </c>
      <c r="B104" s="42" t="s">
        <v>274</v>
      </c>
      <c r="C104" s="26" t="str">
        <f>+VLOOKUP(tblKeluar[[#This Row],[Kode Barang]],tblKatalog[],2)</f>
        <v>Amplop Besar</v>
      </c>
      <c r="D104" s="26" t="str">
        <f>+VLOOKUP(tblKeluar[[#This Row],[Kode Barang]],tblKatalog[],3)</f>
        <v>@28x40</v>
      </c>
      <c r="E104" s="1">
        <v>1</v>
      </c>
      <c r="F104" s="23" t="s">
        <v>405</v>
      </c>
      <c r="G104" s="23" t="s">
        <v>443</v>
      </c>
      <c r="J104" s="24" t="s">
        <v>289</v>
      </c>
      <c r="K104" s="24" t="str">
        <f>+VLOOKUP(J104,tblKatalog[],2)</f>
        <v>Buku Jurnal</v>
      </c>
      <c r="L104" s="46">
        <f>+SUMIF($B$8:$B$999975,"GAA099",$E$8:G$999975)</f>
        <v>0</v>
      </c>
    </row>
    <row r="105" spans="1:12" x14ac:dyDescent="0.25">
      <c r="A105" s="21">
        <v>46121</v>
      </c>
      <c r="B105" s="42" t="s">
        <v>275</v>
      </c>
      <c r="C105" s="26" t="str">
        <f>+VLOOKUP(tblKeluar[[#This Row],[Kode Barang]],tblKatalog[],2)</f>
        <v>Amplop A3</v>
      </c>
      <c r="D105" s="26" t="str">
        <f>+VLOOKUP(tblKeluar[[#This Row],[Kode Barang]],tblKatalog[],3)</f>
        <v>@A3</v>
      </c>
      <c r="E105" s="1">
        <v>1</v>
      </c>
      <c r="F105" s="23" t="s">
        <v>405</v>
      </c>
      <c r="G105" s="23" t="s">
        <v>443</v>
      </c>
      <c r="J105" s="24" t="s">
        <v>290</v>
      </c>
      <c r="K105" s="24" t="str">
        <f>+VLOOKUP(J105,tblKatalog[],2)</f>
        <v>Amplop 1/2 A4</v>
      </c>
      <c r="L105" s="46">
        <f>+SUMIF($B$8:$B$999975,"GAA100",$E$8:G$999975)</f>
        <v>1</v>
      </c>
    </row>
    <row r="106" spans="1:12" x14ac:dyDescent="0.25">
      <c r="A106" s="21">
        <v>46121</v>
      </c>
      <c r="B106" s="42" t="s">
        <v>290</v>
      </c>
      <c r="C106" s="26" t="str">
        <f>+VLOOKUP(tblKeluar[[#This Row],[Kode Barang]],tblKatalog[],2)</f>
        <v>Amplop 1/2 A4</v>
      </c>
      <c r="D106" s="26" t="str">
        <f>+VLOOKUP(tblKeluar[[#This Row],[Kode Barang]],tblKatalog[],3)</f>
        <v>@1/2 A4</v>
      </c>
      <c r="E106" s="1">
        <v>1</v>
      </c>
      <c r="F106" s="23" t="s">
        <v>405</v>
      </c>
      <c r="G106" s="23" t="s">
        <v>443</v>
      </c>
      <c r="J106" s="24" t="s">
        <v>300</v>
      </c>
      <c r="K106" s="24" t="str">
        <f>+VLOOKUP(J106,tblKatalog[],2)</f>
        <v>Lem Stick Kecil</v>
      </c>
      <c r="L106" s="46">
        <f>+SUMIF($B$8:$B$999975,"GAA101",$E$8:G$999975)</f>
        <v>2</v>
      </c>
    </row>
    <row r="107" spans="1:12" x14ac:dyDescent="0.25">
      <c r="A107" s="21">
        <v>46121</v>
      </c>
      <c r="B107" s="42" t="s">
        <v>309</v>
      </c>
      <c r="C107" s="26" t="str">
        <f>+VLOOKUP(tblKeluar[[#This Row],[Kode Barang]],tblKatalog[],2)</f>
        <v>Kertas A3 @70gr</v>
      </c>
      <c r="D107" s="26" t="str">
        <f>+VLOOKUP(tblKeluar[[#This Row],[Kode Barang]],tblKatalog[],3)</f>
        <v>Bola Dunia @1 Rim</v>
      </c>
      <c r="E107" s="1">
        <v>1</v>
      </c>
      <c r="F107" s="23" t="s">
        <v>405</v>
      </c>
      <c r="G107" s="23" t="s">
        <v>443</v>
      </c>
      <c r="J107" s="24" t="s">
        <v>301</v>
      </c>
      <c r="K107" s="24" t="str">
        <f>+VLOOKUP(J107,tblKatalog[],2)</f>
        <v>Double Tape Sedang</v>
      </c>
      <c r="L107" s="46">
        <f>+SUMIF($B$8:$B$999975,"GAA102",$E$8:G$999975)</f>
        <v>1</v>
      </c>
    </row>
    <row r="108" spans="1:12" x14ac:dyDescent="0.25">
      <c r="A108" s="21">
        <v>46121</v>
      </c>
      <c r="B108" s="42" t="s">
        <v>348</v>
      </c>
      <c r="C108" s="26" t="str">
        <f>+VLOOKUP(tblKeluar[[#This Row],[Kode Barang]],tblKatalog[],2)</f>
        <v>Pulpen Gel Hitam 0,5mm</v>
      </c>
      <c r="D108" s="26" t="str">
        <f>+VLOOKUP(tblKeluar[[#This Row],[Kode Barang]],tblKatalog[],3)</f>
        <v>Kenko @1box=12ea</v>
      </c>
      <c r="E108" s="1">
        <v>2</v>
      </c>
      <c r="F108" s="23" t="s">
        <v>405</v>
      </c>
      <c r="G108" s="23" t="s">
        <v>443</v>
      </c>
      <c r="J108" s="24" t="s">
        <v>304</v>
      </c>
      <c r="K108" s="24" t="str">
        <f>+VLOOKUP(J108,tblKatalog[],2)</f>
        <v>Eraser Whiteboard</v>
      </c>
      <c r="L108" s="46">
        <f>+SUMIF($B$8:$B$999975,"GAA103",$E$8:G$999975)</f>
        <v>0</v>
      </c>
    </row>
    <row r="109" spans="1:12" x14ac:dyDescent="0.25">
      <c r="A109" s="21">
        <v>46122</v>
      </c>
      <c r="B109" s="42" t="s">
        <v>300</v>
      </c>
      <c r="C109" s="26" t="str">
        <f>+VLOOKUP(tblKeluar[[#This Row],[Kode Barang]],tblKatalog[],2)</f>
        <v>Lem Stick Kecil</v>
      </c>
      <c r="D109" s="26" t="str">
        <f>+VLOOKUP(tblKeluar[[#This Row],[Kode Barang]],tblKatalog[],3)</f>
        <v>UHU Kecil</v>
      </c>
      <c r="E109" s="1">
        <v>1</v>
      </c>
      <c r="F109" s="23" t="s">
        <v>405</v>
      </c>
      <c r="G109" s="23" t="s">
        <v>443</v>
      </c>
      <c r="J109" s="24" t="s">
        <v>307</v>
      </c>
      <c r="K109" s="24" t="str">
        <f>+VLOOKUP(J109,tblKatalog[],2)</f>
        <v>Kertas Cover Buffalo Putih F4</v>
      </c>
      <c r="L109" s="46">
        <f>+SUMIF($B$8:$B$999975,"GAA104",$E$8:G$999975)</f>
        <v>0</v>
      </c>
    </row>
    <row r="110" spans="1:12" x14ac:dyDescent="0.25">
      <c r="A110" s="21">
        <v>46126</v>
      </c>
      <c r="B110" s="42" t="s">
        <v>28</v>
      </c>
      <c r="C110" s="26" t="str">
        <f>+VLOOKUP(tblKeluar[[#This Row],[Kode Barang]],tblKatalog[],2)</f>
        <v>Lakban Coklat Besar</v>
      </c>
      <c r="D110" s="26" t="str">
        <f>+VLOOKUP(tblKeluar[[#This Row],[Kode Barang]],tblKatalog[],3)</f>
        <v>Daimaru @48mm</v>
      </c>
      <c r="E110" s="1">
        <v>1</v>
      </c>
      <c r="F110" s="23" t="s">
        <v>405</v>
      </c>
      <c r="G110" s="23" t="s">
        <v>444</v>
      </c>
      <c r="J110" s="24" t="s">
        <v>309</v>
      </c>
      <c r="K110" s="24" t="str">
        <f>+VLOOKUP(J110,tblKatalog[],2)</f>
        <v>Kertas A3 @70gr</v>
      </c>
      <c r="L110" s="46">
        <f>+SUMIF($B$8:$B$999975,"GAA105",$E$8:G$999975)</f>
        <v>1</v>
      </c>
    </row>
    <row r="111" spans="1:12" x14ac:dyDescent="0.25">
      <c r="A111" s="21">
        <v>46126</v>
      </c>
      <c r="B111" s="42" t="s">
        <v>348</v>
      </c>
      <c r="C111" s="26" t="str">
        <f>+VLOOKUP(tblKeluar[[#This Row],[Kode Barang]],tblKatalog[],2)</f>
        <v>Pulpen Gel Hitam 0,5mm</v>
      </c>
      <c r="D111" s="26" t="str">
        <f>+VLOOKUP(tblKeluar[[#This Row],[Kode Barang]],tblKatalog[],3)</f>
        <v>Kenko @1box=12ea</v>
      </c>
      <c r="E111" s="1">
        <v>1</v>
      </c>
      <c r="F111" s="23" t="s">
        <v>405</v>
      </c>
      <c r="G111" s="23" t="s">
        <v>444</v>
      </c>
      <c r="J111" s="24" t="s">
        <v>313</v>
      </c>
      <c r="K111" s="24" t="str">
        <f>+VLOOKUP(J111,tblKatalog[],2)</f>
        <v>Catridge Toner Printer HP 85A</v>
      </c>
      <c r="L111" s="46">
        <f>+SUMIF($B$8:$B$999975,"GAA106",$E$8:G$999975)</f>
        <v>0</v>
      </c>
    </row>
    <row r="112" spans="1:12" x14ac:dyDescent="0.25">
      <c r="A112" s="21">
        <v>46126</v>
      </c>
      <c r="B112" s="42" t="s">
        <v>153</v>
      </c>
      <c r="C112" s="26" t="str">
        <f>+VLOOKUP(tblKeluar[[#This Row],[Kode Barang]],tblKatalog[],2)</f>
        <v xml:space="preserve">Push Pins </v>
      </c>
      <c r="D112" s="26" t="str">
        <f>+VLOOKUP(tblKeluar[[#This Row],[Kode Barang]],tblKatalog[],3)</f>
        <v xml:space="preserve">Kenko </v>
      </c>
      <c r="E112" s="1">
        <v>1</v>
      </c>
      <c r="F112" s="23" t="s">
        <v>405</v>
      </c>
      <c r="G112" s="23" t="s">
        <v>443</v>
      </c>
      <c r="J112" s="24" t="s">
        <v>314</v>
      </c>
      <c r="K112" s="24" t="str">
        <f>+VLOOKUP(J112,tblKatalog[],2)</f>
        <v>Catridge Toner Printer HP 78A</v>
      </c>
      <c r="L112" s="46">
        <f>+SUMIF($B$8:$B$999975,"GAA107",$E$8:G$999975)</f>
        <v>0</v>
      </c>
    </row>
    <row r="113" spans="1:12" x14ac:dyDescent="0.25">
      <c r="A113" s="21">
        <v>46126</v>
      </c>
      <c r="B113" s="42" t="s">
        <v>111</v>
      </c>
      <c r="C113" s="26" t="str">
        <f>+VLOOKUP(tblKeluar[[#This Row],[Kode Barang]],tblKatalog[],2)</f>
        <v>Baterai AAA ABC</v>
      </c>
      <c r="D113" s="26" t="str">
        <f>+VLOOKUP(tblKeluar[[#This Row],[Kode Barang]],tblKatalog[],3)</f>
        <v>ABC Alkaline</v>
      </c>
      <c r="E113" s="1">
        <v>2</v>
      </c>
      <c r="F113" s="23" t="s">
        <v>405</v>
      </c>
      <c r="G113" s="23" t="s">
        <v>443</v>
      </c>
      <c r="J113" s="24" t="s">
        <v>321</v>
      </c>
      <c r="K113" s="24" t="str">
        <f>+VLOOKUP(J113,tblKatalog[],2)</f>
        <v>Post It Sedang</v>
      </c>
      <c r="L113" s="46">
        <f>+SUMIF($B$8:$B$999975,"GAA108",$E$8:G$999975)</f>
        <v>17</v>
      </c>
    </row>
    <row r="114" spans="1:12" x14ac:dyDescent="0.25">
      <c r="A114" s="21">
        <v>46126</v>
      </c>
      <c r="B114" s="42" t="s">
        <v>221</v>
      </c>
      <c r="C114" s="26" t="str">
        <f>+VLOOKUP(tblKeluar[[#This Row],[Kode Barang]],tblKatalog[],2)</f>
        <v>Baterai AA ABC</v>
      </c>
      <c r="D114" s="26" t="str">
        <f>+VLOOKUP(tblKeluar[[#This Row],[Kode Barang]],tblKatalog[],3)</f>
        <v>ABC Alkaline</v>
      </c>
      <c r="E114" s="1">
        <v>1</v>
      </c>
      <c r="F114" s="23" t="s">
        <v>405</v>
      </c>
      <c r="G114" s="23" t="s">
        <v>443</v>
      </c>
      <c r="J114" s="24" t="s">
        <v>323</v>
      </c>
      <c r="K114" s="24" t="str">
        <f>+VLOOKUP(J114,tblKatalog[],2)</f>
        <v>Tip-X Kertas</v>
      </c>
      <c r="L114" s="46">
        <f>+SUMIF($B$8:$B$999975,"GAA109",$E$8:G$999975)</f>
        <v>2</v>
      </c>
    </row>
    <row r="115" spans="1:12" x14ac:dyDescent="0.25">
      <c r="A115" s="21">
        <v>46128</v>
      </c>
      <c r="B115" s="42" t="s">
        <v>321</v>
      </c>
      <c r="C115" s="26" t="str">
        <f>+VLOOKUP(tblKeluar[[#This Row],[Kode Barang]],tblKatalog[],2)</f>
        <v>Post It Sedang</v>
      </c>
      <c r="D115" s="26" t="str">
        <f>+VLOOKUP(tblKeluar[[#This Row],[Kode Barang]],tblKatalog[],3)</f>
        <v>BIG 76x51 mm</v>
      </c>
      <c r="E115" s="1">
        <v>1</v>
      </c>
      <c r="F115" s="23" t="s">
        <v>405</v>
      </c>
      <c r="G115" s="23" t="s">
        <v>447</v>
      </c>
      <c r="J115" s="24" t="s">
        <v>326</v>
      </c>
      <c r="K115" s="24" t="str">
        <f>+VLOOKUP(J115,tblKatalog[],2)</f>
        <v>Karet Gelang</v>
      </c>
      <c r="L115" s="46">
        <f>+SUMIF($B$8:$B$999975,"GAA110",$E$8:G$999975)</f>
        <v>2</v>
      </c>
    </row>
    <row r="116" spans="1:12" x14ac:dyDescent="0.25">
      <c r="A116" s="21">
        <v>46128</v>
      </c>
      <c r="B116" s="42" t="s">
        <v>34</v>
      </c>
      <c r="C116" s="26" t="str">
        <f>+VLOOKUP(tblKeluar[[#This Row],[Kode Barang]],tblKatalog[],2)</f>
        <v xml:space="preserve">Amplop Putih Polos </v>
      </c>
      <c r="D116" s="26" t="str">
        <f>+VLOOKUP(tblKeluar[[#This Row],[Kode Barang]],tblKatalog[],3)</f>
        <v>Paperline @90</v>
      </c>
      <c r="E116" s="1">
        <v>1</v>
      </c>
      <c r="F116" s="23" t="s">
        <v>405</v>
      </c>
      <c r="G116" s="23" t="s">
        <v>447</v>
      </c>
      <c r="J116" s="24" t="s">
        <v>329</v>
      </c>
      <c r="K116" s="24" t="str">
        <f>+VLOOKUP(J116,tblKatalog[],2)</f>
        <v>Post It Sign Here</v>
      </c>
      <c r="L116" s="46">
        <f>+SUMIF($B$8:$B$999975,"GAA111",$E$8:G$999975)</f>
        <v>4</v>
      </c>
    </row>
    <row r="117" spans="1:12" x14ac:dyDescent="0.25">
      <c r="A117" s="21">
        <v>46128</v>
      </c>
      <c r="B117" s="42" t="s">
        <v>108</v>
      </c>
      <c r="C117" s="26" t="str">
        <f>+VLOOKUP(tblKeluar[[#This Row],[Kode Barang]],tblKatalog[],2)</f>
        <v xml:space="preserve">Pulpen </v>
      </c>
      <c r="D117" s="26" t="str">
        <f>+VLOOKUP(tblKeluar[[#This Row],[Kode Barang]],tblKatalog[],3)</f>
        <v>Snowman @V-7</v>
      </c>
      <c r="E117" s="1">
        <v>1</v>
      </c>
      <c r="F117" s="23" t="s">
        <v>405</v>
      </c>
      <c r="G117" s="23" t="s">
        <v>447</v>
      </c>
      <c r="J117" s="24" t="s">
        <v>332</v>
      </c>
      <c r="K117" s="24" t="str">
        <f>+VLOOKUP(J117,tblKatalog[],2)</f>
        <v xml:space="preserve">Staples </v>
      </c>
      <c r="L117" s="46">
        <f>+SUMIF($B$8:$B$999975,"GAA112",$E$8:G$999975)</f>
        <v>1</v>
      </c>
    </row>
    <row r="118" spans="1:12" x14ac:dyDescent="0.25">
      <c r="A118" s="21">
        <v>46129</v>
      </c>
      <c r="B118" s="42" t="s">
        <v>37</v>
      </c>
      <c r="C118" s="26" t="str">
        <f>+VLOOKUP(tblKeluar[[#This Row],[Kode Barang]],tblKatalog[],2)</f>
        <v>Isi Staples No. 10-1M</v>
      </c>
      <c r="D118" s="26" t="str">
        <f>+VLOOKUP(tblKeluar[[#This Row],[Kode Barang]],tblKatalog[],3)</f>
        <v>Kangaro @1box kecil = 20 ea</v>
      </c>
      <c r="E118" s="1">
        <v>1</v>
      </c>
      <c r="F118" s="23" t="s">
        <v>405</v>
      </c>
      <c r="G118" s="23" t="s">
        <v>443</v>
      </c>
      <c r="J118" s="24" t="s">
        <v>340</v>
      </c>
      <c r="K118" s="24" t="str">
        <f>+VLOOKUP(J118,tblKatalog[],2)</f>
        <v>Ink Catridge Black</v>
      </c>
      <c r="L118" s="46">
        <f>+SUMIF($B$8:$B$999975,"GAA113",$E$8:G$999975)</f>
        <v>0</v>
      </c>
    </row>
    <row r="119" spans="1:12" x14ac:dyDescent="0.25">
      <c r="A119" s="21">
        <v>46129</v>
      </c>
      <c r="B119" s="42" t="s">
        <v>111</v>
      </c>
      <c r="C119" s="26" t="str">
        <f>+VLOOKUP(tblKeluar[[#This Row],[Kode Barang]],tblKatalog[],2)</f>
        <v>Baterai AAA ABC</v>
      </c>
      <c r="D119" s="26" t="str">
        <f>+VLOOKUP(tblKeluar[[#This Row],[Kode Barang]],tblKatalog[],3)</f>
        <v>ABC Alkaline</v>
      </c>
      <c r="E119" s="1">
        <v>2</v>
      </c>
      <c r="F119" s="23" t="s">
        <v>405</v>
      </c>
      <c r="G119" s="23" t="s">
        <v>443</v>
      </c>
      <c r="J119" s="24" t="s">
        <v>341</v>
      </c>
      <c r="K119" s="24" t="str">
        <f>+VLOOKUP(J119,tblKatalog[],2)</f>
        <v>Ink Catridge Cyan</v>
      </c>
      <c r="L119" s="46">
        <f>+SUMIF($B$8:$B$999975,"GAA114",$E$8:G$999975)</f>
        <v>0</v>
      </c>
    </row>
    <row r="120" spans="1:12" x14ac:dyDescent="0.25">
      <c r="A120" s="21">
        <v>46133</v>
      </c>
      <c r="B120" s="42" t="s">
        <v>21</v>
      </c>
      <c r="C120" s="26" t="str">
        <f>+VLOOKUP(tblKeluar[[#This Row],[Kode Barang]],tblKatalog[],2)</f>
        <v>Binder Clips@No.200</v>
      </c>
      <c r="D120" s="26" t="str">
        <f>+VLOOKUP(tblKeluar[[#This Row],[Kode Barang]],tblKatalog[],3)</f>
        <v>Pop 1 @1box = 12 pcs</v>
      </c>
      <c r="E120" s="1">
        <v>2</v>
      </c>
      <c r="F120" s="23" t="s">
        <v>405</v>
      </c>
      <c r="G120" s="23" t="s">
        <v>443</v>
      </c>
      <c r="J120" s="24" t="s">
        <v>342</v>
      </c>
      <c r="K120" s="24" t="str">
        <f>+VLOOKUP(J120,tblKatalog[],2)</f>
        <v>Ink Catridge Magenta</v>
      </c>
      <c r="L120" s="46">
        <f>+SUMIF($B$8:$B$999975,"GAA115",$E$8:G$999975)</f>
        <v>0</v>
      </c>
    </row>
    <row r="121" spans="1:12" x14ac:dyDescent="0.25">
      <c r="A121" s="21">
        <v>46133</v>
      </c>
      <c r="B121" s="42" t="s">
        <v>108</v>
      </c>
      <c r="C121" s="26" t="str">
        <f>+VLOOKUP(tblKeluar[[#This Row],[Kode Barang]],tblKatalog[],2)</f>
        <v xml:space="preserve">Pulpen </v>
      </c>
      <c r="D121" s="26" t="str">
        <f>+VLOOKUP(tblKeluar[[#This Row],[Kode Barang]],tblKatalog[],3)</f>
        <v>Snowman @V-7</v>
      </c>
      <c r="E121" s="1">
        <v>1</v>
      </c>
      <c r="F121" s="23" t="s">
        <v>456</v>
      </c>
      <c r="G121" s="23" t="s">
        <v>453</v>
      </c>
      <c r="J121" s="24" t="s">
        <v>343</v>
      </c>
      <c r="K121" s="24" t="str">
        <f>+VLOOKUP(J121,tblKatalog[],2)</f>
        <v>Ink Catridge Yellow</v>
      </c>
      <c r="L121" s="46">
        <f>+SUMIF($B$8:$B$999975,"GAA116",$E$8:G$999975)</f>
        <v>0</v>
      </c>
    </row>
    <row r="122" spans="1:12" x14ac:dyDescent="0.25">
      <c r="A122" s="21">
        <v>46134</v>
      </c>
      <c r="B122" s="42" t="s">
        <v>221</v>
      </c>
      <c r="C122" s="26" t="str">
        <f>+VLOOKUP(tblKeluar[[#This Row],[Kode Barang]],tblKatalog[],2)</f>
        <v>Baterai AA ABC</v>
      </c>
      <c r="D122" s="26" t="str">
        <f>+VLOOKUP(tblKeluar[[#This Row],[Kode Barang]],tblKatalog[],3)</f>
        <v>ABC Alkaline</v>
      </c>
      <c r="E122" s="1">
        <v>1</v>
      </c>
      <c r="F122" s="23" t="s">
        <v>405</v>
      </c>
      <c r="G122" s="23" t="s">
        <v>465</v>
      </c>
      <c r="J122" s="24" t="s">
        <v>344</v>
      </c>
      <c r="K122" s="24" t="str">
        <f>+VLOOKUP(J122,tblKatalog[],2)</f>
        <v>Binder Clips@No.155</v>
      </c>
      <c r="L122" s="46">
        <f>+SUMIF($B$8:$B$999965,"GAA117",$E$8:G$999965)</f>
        <v>1</v>
      </c>
    </row>
    <row r="123" spans="1:12" x14ac:dyDescent="0.25">
      <c r="A123" s="21">
        <v>46142</v>
      </c>
      <c r="B123" s="42" t="s">
        <v>221</v>
      </c>
      <c r="C123" s="26" t="str">
        <f>+VLOOKUP(tblKeluar[[#This Row],[Kode Barang]],tblKatalog[],2)</f>
        <v>Baterai AA ABC</v>
      </c>
      <c r="D123" s="26" t="str">
        <f>+VLOOKUP(tblKeluar[[#This Row],[Kode Barang]],tblKatalog[],3)</f>
        <v>ABC Alkaline</v>
      </c>
      <c r="E123" s="1">
        <v>2</v>
      </c>
      <c r="F123" s="23" t="s">
        <v>405</v>
      </c>
      <c r="G123" s="23" t="s">
        <v>466</v>
      </c>
      <c r="J123" s="24" t="s">
        <v>346</v>
      </c>
      <c r="K123" s="24" t="str">
        <f>+VLOOKUP(J123,tblKatalog[],2)</f>
        <v>Glossy Photo Paper Double Side A4</v>
      </c>
      <c r="L123" s="46">
        <f>+SUMIF($B$8:$B$999965,"GAA118",$E$8:G$999965)</f>
        <v>1</v>
      </c>
    </row>
    <row r="124" spans="1:12" x14ac:dyDescent="0.25">
      <c r="A124" s="21">
        <v>46149</v>
      </c>
      <c r="B124" s="42" t="s">
        <v>108</v>
      </c>
      <c r="C124" s="26" t="str">
        <f>+VLOOKUP(tblKeluar[[#This Row],[Kode Barang]],tblKatalog[],2)</f>
        <v xml:space="preserve">Pulpen </v>
      </c>
      <c r="D124" s="26" t="str">
        <f>+VLOOKUP(tblKeluar[[#This Row],[Kode Barang]],tblKatalog[],3)</f>
        <v>Snowman @V-7</v>
      </c>
      <c r="E124" s="1">
        <v>1</v>
      </c>
      <c r="F124" s="23" t="s">
        <v>405</v>
      </c>
      <c r="G124" s="23" t="s">
        <v>443</v>
      </c>
      <c r="J124" s="24" t="s">
        <v>348</v>
      </c>
      <c r="K124" s="24" t="str">
        <f>+VLOOKUP(J124,tblKatalog[],2)</f>
        <v>Pulpen Gel Hitam 0,5mm</v>
      </c>
      <c r="L124" s="46">
        <f>+SUMIF($B$8:$B$999965,"GAA119",$E$8:G$999965)</f>
        <v>40</v>
      </c>
    </row>
    <row r="125" spans="1:12" x14ac:dyDescent="0.25">
      <c r="A125" s="21">
        <v>46149</v>
      </c>
      <c r="B125" s="42" t="s">
        <v>398</v>
      </c>
      <c r="C125" s="26" t="str">
        <f>+VLOOKUP(tblKeluar[[#This Row],[Kode Barang]],tblKatalog[],2)</f>
        <v>Post It Jumbo</v>
      </c>
      <c r="D125" s="26" t="str">
        <f>+VLOOKUP(tblKeluar[[#This Row],[Kode Barang]],tblKatalog[],3)</f>
        <v>76x110mm</v>
      </c>
      <c r="E125" s="1">
        <v>1</v>
      </c>
      <c r="F125" s="23" t="s">
        <v>405</v>
      </c>
      <c r="G125" s="23" t="s">
        <v>443</v>
      </c>
      <c r="J125" s="24" t="s">
        <v>351</v>
      </c>
      <c r="K125" s="24" t="str">
        <f>+VLOOKUP(J125,tblKatalog[],2)</f>
        <v>Lakban Hitam Sedang</v>
      </c>
      <c r="L125" s="46">
        <f>+SUMIF($B$8:$B$999965,"GAA120",$E$8:G$999965)</f>
        <v>0</v>
      </c>
    </row>
    <row r="126" spans="1:12" x14ac:dyDescent="0.25">
      <c r="A126" s="21">
        <v>46155</v>
      </c>
      <c r="B126" s="42" t="s">
        <v>20</v>
      </c>
      <c r="C126" s="26" t="str">
        <f>+VLOOKUP(tblKeluar[[#This Row],[Kode Barang]],tblKatalog[],2)</f>
        <v>Binder Clips@No.105</v>
      </c>
      <c r="D126" s="26" t="str">
        <f>+VLOOKUP(tblKeluar[[#This Row],[Kode Barang]],tblKatalog[],3)</f>
        <v>Kenko @1box kecil = 12 pcs</v>
      </c>
      <c r="E126" s="1">
        <v>1</v>
      </c>
      <c r="F126" s="23" t="s">
        <v>405</v>
      </c>
      <c r="G126" s="23" t="s">
        <v>443</v>
      </c>
      <c r="J126" s="24" t="s">
        <v>354</v>
      </c>
      <c r="K126" s="24" t="str">
        <f>+VLOOKUP(J126,tblKatalog[],2)</f>
        <v>Isolasi Bening Kecil</v>
      </c>
      <c r="L126" s="46">
        <f>+SUMIF($B$8:$B$999965,"GAA121",$E$8:G$999965)</f>
        <v>0</v>
      </c>
    </row>
    <row r="127" spans="1:12" x14ac:dyDescent="0.25">
      <c r="A127" s="21">
        <v>46155</v>
      </c>
      <c r="B127" s="42" t="s">
        <v>37</v>
      </c>
      <c r="C127" s="26" t="str">
        <f>+VLOOKUP(tblKeluar[[#This Row],[Kode Barang]],tblKatalog[],2)</f>
        <v>Isi Staples No. 10-1M</v>
      </c>
      <c r="D127" s="26" t="str">
        <f>+VLOOKUP(tblKeluar[[#This Row],[Kode Barang]],tblKatalog[],3)</f>
        <v>Kangaro @1box kecil = 20 ea</v>
      </c>
      <c r="E127" s="1">
        <v>1</v>
      </c>
      <c r="F127" s="23" t="s">
        <v>405</v>
      </c>
      <c r="G127" s="23" t="s">
        <v>443</v>
      </c>
      <c r="J127" s="24" t="s">
        <v>356</v>
      </c>
      <c r="K127" s="24" t="str">
        <f>+VLOOKUP(J127,tblKatalog[],2)</f>
        <v>Post It 3 Color</v>
      </c>
      <c r="L127" s="46">
        <f>+SUMIF($B$8:$B$999965,"GAA122",$E$8:G$999965)</f>
        <v>11</v>
      </c>
    </row>
    <row r="128" spans="1:12" x14ac:dyDescent="0.25">
      <c r="A128" s="21">
        <v>46155</v>
      </c>
      <c r="B128" s="42" t="s">
        <v>221</v>
      </c>
      <c r="C128" s="26" t="str">
        <f>+VLOOKUP(tblKeluar[[#This Row],[Kode Barang]],tblKatalog[],2)</f>
        <v>Baterai AA ABC</v>
      </c>
      <c r="D128" s="26" t="str">
        <f>+VLOOKUP(tblKeluar[[#This Row],[Kode Barang]],tblKatalog[],3)</f>
        <v>ABC Alkaline</v>
      </c>
      <c r="E128" s="1">
        <v>1</v>
      </c>
      <c r="F128" s="23" t="s">
        <v>405</v>
      </c>
      <c r="G128" s="23" t="s">
        <v>443</v>
      </c>
      <c r="J128" s="24" t="s">
        <v>359</v>
      </c>
      <c r="K128" s="24" t="str">
        <f>+VLOOKUP(J128,tblKatalog[],2)</f>
        <v>Lem Epoxy</v>
      </c>
      <c r="L128" s="46">
        <f>+SUMIF($B$8:$B$999965,"GAA123",$E$8:G$999965)</f>
        <v>0</v>
      </c>
    </row>
    <row r="129" spans="1:12" x14ac:dyDescent="0.25">
      <c r="A129" s="21">
        <v>46155</v>
      </c>
      <c r="B129" s="42" t="s">
        <v>111</v>
      </c>
      <c r="C129" s="26" t="str">
        <f>+VLOOKUP(tblKeluar[[#This Row],[Kode Barang]],tblKatalog[],2)</f>
        <v>Baterai AAA ABC</v>
      </c>
      <c r="D129" s="26" t="str">
        <f>+VLOOKUP(tblKeluar[[#This Row],[Kode Barang]],tblKatalog[],3)</f>
        <v>ABC Alkaline</v>
      </c>
      <c r="E129" s="1">
        <v>2</v>
      </c>
      <c r="F129" s="23" t="s">
        <v>405</v>
      </c>
      <c r="G129" s="23" t="s">
        <v>443</v>
      </c>
      <c r="J129" s="24" t="s">
        <v>361</v>
      </c>
      <c r="K129" s="24" t="str">
        <f>+VLOOKUP(J129,tblKatalog[],2)</f>
        <v>3M Scotch 23 Rubber Splicing Tape</v>
      </c>
      <c r="L129" s="46">
        <f>+SUMIF($B$8:$B$999965,"GAA124",$E$8:G$999965)</f>
        <v>0</v>
      </c>
    </row>
    <row r="130" spans="1:12" x14ac:dyDescent="0.25">
      <c r="A130" s="21">
        <v>46163</v>
      </c>
      <c r="B130" s="42" t="s">
        <v>28</v>
      </c>
      <c r="C130" s="26" t="str">
        <f>+VLOOKUP(tblKeluar[[#This Row],[Kode Barang]],tblKatalog[],2)</f>
        <v>Lakban Coklat Besar</v>
      </c>
      <c r="D130" s="26" t="str">
        <f>+VLOOKUP(tblKeluar[[#This Row],[Kode Barang]],tblKatalog[],3)</f>
        <v>Daimaru @48mm</v>
      </c>
      <c r="E130" s="1">
        <v>1</v>
      </c>
      <c r="F130" s="23" t="s">
        <v>405</v>
      </c>
      <c r="G130" s="23" t="s">
        <v>444</v>
      </c>
      <c r="J130" s="24" t="s">
        <v>365</v>
      </c>
      <c r="K130" s="24" t="str">
        <f>+VLOOKUP(J130,tblKatalog[],2)</f>
        <v>Fargo DTC 1000 Color Ribbon</v>
      </c>
      <c r="L130" s="46">
        <f>+SUMIF($B$8:$B$999965,"GAA125",$E$8:G$999965)</f>
        <v>0</v>
      </c>
    </row>
    <row r="131" spans="1:12" x14ac:dyDescent="0.25">
      <c r="A131" s="21">
        <v>46175</v>
      </c>
      <c r="B131" s="42" t="s">
        <v>285</v>
      </c>
      <c r="C131" s="26" t="str">
        <f>+VLOOKUP(tblKeluar[[#This Row],[Kode Barang]],tblKatalog[],2)</f>
        <v>Nota 1 Ply</v>
      </c>
      <c r="D131" s="26" t="str">
        <f>+VLOOKUP(tblKeluar[[#This Row],[Kode Barang]],tblKatalog[],3)</f>
        <v>Paperline @108x155 mm</v>
      </c>
      <c r="E131" s="1">
        <v>1</v>
      </c>
      <c r="F131" s="23" t="s">
        <v>405</v>
      </c>
      <c r="G131" s="23" t="s">
        <v>444</v>
      </c>
      <c r="J131" s="24" t="s">
        <v>367</v>
      </c>
      <c r="K131" s="24" t="str">
        <f>+VLOOKUP(J131,tblKatalog[],2)</f>
        <v>Whiteboard</v>
      </c>
      <c r="L131" s="46">
        <f>+SUMIF($B$8:$B$999965,"GAA126",$E$8:G$999965)</f>
        <v>0</v>
      </c>
    </row>
    <row r="132" spans="1:12" x14ac:dyDescent="0.25">
      <c r="A132" s="21">
        <v>46175</v>
      </c>
      <c r="B132" s="42" t="s">
        <v>108</v>
      </c>
      <c r="C132" s="26" t="str">
        <f>+VLOOKUP(tblKeluar[[#This Row],[Kode Barang]],tblKatalog[],2)</f>
        <v xml:space="preserve">Pulpen </v>
      </c>
      <c r="D132" s="26" t="str">
        <f>+VLOOKUP(tblKeluar[[#This Row],[Kode Barang]],tblKatalog[],3)</f>
        <v>Snowman @V-7</v>
      </c>
      <c r="E132" s="1">
        <v>1</v>
      </c>
      <c r="F132" s="23" t="s">
        <v>405</v>
      </c>
      <c r="G132" s="23" t="s">
        <v>443</v>
      </c>
      <c r="J132" s="24" t="s">
        <v>370</v>
      </c>
      <c r="K132" s="24" t="str">
        <f>+VLOOKUP(J132,tblKatalog[],2)</f>
        <v>Name Card Holder</v>
      </c>
      <c r="L132" s="46">
        <f>+SUMIF($B$8:$B$999965,"GAA127",$E$8:G$999965)</f>
        <v>0</v>
      </c>
    </row>
    <row r="133" spans="1:12" x14ac:dyDescent="0.25">
      <c r="A133" s="21">
        <v>46178</v>
      </c>
      <c r="B133" s="42" t="s">
        <v>110</v>
      </c>
      <c r="C133" s="26" t="str">
        <f>+VLOOKUP(tblKeluar[[#This Row],[Kode Barang]],tblKatalog[],2)</f>
        <v>Kwitansi Kecil</v>
      </c>
      <c r="D133" s="26" t="str">
        <f>+VLOOKUP(tblKeluar[[#This Row],[Kode Barang]],tblKatalog[],3)</f>
        <v>Paperline @40 Sheets</v>
      </c>
      <c r="E133" s="1">
        <v>1</v>
      </c>
      <c r="F133" s="23" t="s">
        <v>233</v>
      </c>
      <c r="G133" s="23" t="s">
        <v>460</v>
      </c>
      <c r="J133" s="24" t="s">
        <v>374</v>
      </c>
      <c r="K133" s="24" t="str">
        <f>+VLOOKUP(J133,tblKatalog[],2)</f>
        <v>Penghapus Pensil</v>
      </c>
      <c r="L133" s="46">
        <f>+SUMIF($B$8:$B$999965,"GAA128",$E$8:G$999965)</f>
        <v>3</v>
      </c>
    </row>
    <row r="134" spans="1:12" x14ac:dyDescent="0.25">
      <c r="A134" s="21">
        <v>46184</v>
      </c>
      <c r="B134" s="42" t="s">
        <v>105</v>
      </c>
      <c r="C134" s="26" t="str">
        <f>+VLOOKUP(tblKeluar[[#This Row],[Kode Barang]],tblKatalog[],2)</f>
        <v xml:space="preserve">Spidol Permanent Hitam </v>
      </c>
      <c r="D134" s="26" t="str">
        <f>+VLOOKUP(tblKeluar[[#This Row],[Kode Barang]],tblKatalog[],3)</f>
        <v>Snowman BG-12</v>
      </c>
      <c r="E134" s="1">
        <v>1</v>
      </c>
      <c r="F134" s="23" t="s">
        <v>405</v>
      </c>
      <c r="G134" s="23" t="s">
        <v>444</v>
      </c>
      <c r="J134" s="24" t="s">
        <v>377</v>
      </c>
      <c r="K134" s="24" t="str">
        <f>+VLOOKUP(J134,tblKatalog[],2)</f>
        <v>Binder Clips@No.111</v>
      </c>
      <c r="L134" s="46">
        <f>+SUMIF($B$8:$B$999965,"GAA129",$E$8:G$999965)</f>
        <v>1</v>
      </c>
    </row>
    <row r="135" spans="1:12" x14ac:dyDescent="0.25">
      <c r="A135" s="21">
        <v>46190</v>
      </c>
      <c r="B135" s="42" t="s">
        <v>147</v>
      </c>
      <c r="C135" s="26" t="str">
        <f>+VLOOKUP(tblKeluar[[#This Row],[Kode Barang]],tblKatalog[],2)</f>
        <v>Kertas A4 @70gr</v>
      </c>
      <c r="D135" s="26" t="str">
        <f>+VLOOKUP(tblKeluar[[#This Row],[Kode Barang]],tblKatalog[],3)</f>
        <v>Kiky @1 Rim</v>
      </c>
      <c r="E135" s="1">
        <v>1</v>
      </c>
      <c r="F135" s="23" t="s">
        <v>445</v>
      </c>
      <c r="G135" s="23" t="s">
        <v>467</v>
      </c>
      <c r="J135" s="24" t="s">
        <v>379</v>
      </c>
      <c r="K135" s="24" t="str">
        <f>+VLOOKUP(J135,tblKatalog[],2)</f>
        <v>Kertas Folio A4</v>
      </c>
      <c r="L135" s="46">
        <f>+SUMIF($B$8:$B$999965,"GAA130",$E$8:G$999965)</f>
        <v>0</v>
      </c>
    </row>
    <row r="136" spans="1:12" x14ac:dyDescent="0.25">
      <c r="A136" s="21">
        <v>46190</v>
      </c>
      <c r="B136" s="42" t="s">
        <v>285</v>
      </c>
      <c r="C136" s="26" t="str">
        <f>+VLOOKUP(tblKeluar[[#This Row],[Kode Barang]],tblKatalog[],2)</f>
        <v>Nota 1 Ply</v>
      </c>
      <c r="D136" s="26" t="str">
        <f>+VLOOKUP(tblKeluar[[#This Row],[Kode Barang]],tblKatalog[],3)</f>
        <v>Paperline @108x155 mm</v>
      </c>
      <c r="E136" s="1">
        <v>1</v>
      </c>
      <c r="F136" s="23" t="s">
        <v>233</v>
      </c>
      <c r="G136" s="23" t="s">
        <v>460</v>
      </c>
      <c r="J136" s="24" t="s">
        <v>381</v>
      </c>
      <c r="K136" s="24" t="str">
        <f>+VLOOKUP(J136,tblKatalog[],2)</f>
        <v>Plastic Bantex</v>
      </c>
      <c r="L136" s="46">
        <f>+SUMIF($B$8:$B$999965,"GAA131",$E$8:G$999965)</f>
        <v>0</v>
      </c>
    </row>
    <row r="137" spans="1:12" x14ac:dyDescent="0.25">
      <c r="A137" s="21">
        <v>46191</v>
      </c>
      <c r="B137" s="42" t="s">
        <v>37</v>
      </c>
      <c r="C137" s="26" t="str">
        <f>+VLOOKUP(tblKeluar[[#This Row],[Kode Barang]],tblKatalog[],2)</f>
        <v>Isi Staples No. 10-1M</v>
      </c>
      <c r="D137" s="26" t="str">
        <f>+VLOOKUP(tblKeluar[[#This Row],[Kode Barang]],tblKatalog[],3)</f>
        <v>Kangaro @1box kecil = 20 ea</v>
      </c>
      <c r="E137" s="1">
        <v>1</v>
      </c>
      <c r="F137" s="23" t="s">
        <v>405</v>
      </c>
      <c r="G137" s="23" t="s">
        <v>442</v>
      </c>
      <c r="J137" s="24" t="s">
        <v>383</v>
      </c>
      <c r="K137" s="24" t="str">
        <f>+VLOOKUP(J137,tblKatalog[],2)</f>
        <v>Transparent Sticker A4</v>
      </c>
      <c r="L137" s="46">
        <f>+SUMIF($B$8:$B$999965,"GAA132",$E$8:G$999965)</f>
        <v>0</v>
      </c>
    </row>
    <row r="138" spans="1:12" x14ac:dyDescent="0.25">
      <c r="A138" s="21">
        <v>46192</v>
      </c>
      <c r="B138" s="42" t="s">
        <v>29</v>
      </c>
      <c r="C138" s="26" t="str">
        <f>+VLOOKUP(tblKeluar[[#This Row],[Kode Barang]],tblKatalog[],2)</f>
        <v>Lakban Bening Besar</v>
      </c>
      <c r="D138" s="26" t="str">
        <f>+VLOOKUP(tblKeluar[[#This Row],[Kode Barang]],tblKatalog[],3)</f>
        <v>Daimaru @48mm</v>
      </c>
      <c r="E138" s="1">
        <v>1</v>
      </c>
      <c r="F138" s="23" t="s">
        <v>405</v>
      </c>
      <c r="G138" s="23" t="s">
        <v>444</v>
      </c>
      <c r="J138" s="24" t="s">
        <v>385</v>
      </c>
      <c r="K138" s="24" t="str">
        <f>+VLOOKUP(J138,tblKatalog[],2)</f>
        <v xml:space="preserve">Double Tape 3M </v>
      </c>
      <c r="L138" s="46">
        <f>+SUMIF($B$8:$B$999965,"GAA133",$E$8:G$999965)</f>
        <v>0</v>
      </c>
    </row>
    <row r="139" spans="1:12" x14ac:dyDescent="0.25">
      <c r="A139" s="21">
        <v>46192</v>
      </c>
      <c r="B139" s="42" t="s">
        <v>79</v>
      </c>
      <c r="C139" s="26" t="str">
        <f>+VLOOKUP(tblKeluar[[#This Row],[Kode Barang]],tblKatalog[],2)</f>
        <v>Spidol Whiteboard Marker Black</v>
      </c>
      <c r="D139" s="26" t="str">
        <f>+VLOOKUP(tblKeluar[[#This Row],[Kode Barang]],tblKatalog[],3)</f>
        <v>Snowman BG-12</v>
      </c>
      <c r="E139" s="1">
        <v>1</v>
      </c>
      <c r="F139" s="23" t="s">
        <v>405</v>
      </c>
      <c r="G139" s="23" t="s">
        <v>444</v>
      </c>
      <c r="J139" s="24" t="s">
        <v>388</v>
      </c>
      <c r="K139" s="24" t="str">
        <f>+VLOOKUP(J139,tblKatalog[],2)</f>
        <v>Battery AA Rechargeable</v>
      </c>
      <c r="L139" s="46">
        <f>+SUMIF($B$8:$B$999965,"GAA134",$E$8:G$999965)</f>
        <v>0</v>
      </c>
    </row>
    <row r="140" spans="1:12" x14ac:dyDescent="0.25">
      <c r="A140" s="21">
        <v>46198</v>
      </c>
      <c r="B140" s="42" t="s">
        <v>221</v>
      </c>
      <c r="C140" s="26" t="str">
        <f>+VLOOKUP(tblKeluar[[#This Row],[Kode Barang]],tblKatalog[],2)</f>
        <v>Baterai AA ABC</v>
      </c>
      <c r="D140" s="26" t="str">
        <f>+VLOOKUP(tblKeluar[[#This Row],[Kode Barang]],tblKatalog[],3)</f>
        <v>ABC Alkaline</v>
      </c>
      <c r="E140" s="1">
        <v>2</v>
      </c>
      <c r="F140" s="23" t="s">
        <v>405</v>
      </c>
      <c r="G140" s="23" t="s">
        <v>443</v>
      </c>
      <c r="J140" s="24" t="s">
        <v>389</v>
      </c>
      <c r="K140" s="24" t="str">
        <f>+VLOOKUP(J140,tblKatalog[],2)</f>
        <v>Battery AAA Rechargeable</v>
      </c>
      <c r="L140" s="46">
        <f>+SUMIF($B$8:$B$999965,"GAA135",$E$8:G$999965)</f>
        <v>0</v>
      </c>
    </row>
    <row r="141" spans="1:12" x14ac:dyDescent="0.25">
      <c r="A141" s="21">
        <v>46198</v>
      </c>
      <c r="B141" s="42" t="s">
        <v>37</v>
      </c>
      <c r="C141" s="26" t="str">
        <f>+VLOOKUP(tblKeluar[[#This Row],[Kode Barang]],tblKatalog[],2)</f>
        <v>Isi Staples No. 10-1M</v>
      </c>
      <c r="D141" s="26" t="str">
        <f>+VLOOKUP(tblKeluar[[#This Row],[Kode Barang]],tblKatalog[],3)</f>
        <v>Kangaro @1box kecil = 20 ea</v>
      </c>
      <c r="E141" s="1">
        <v>1</v>
      </c>
      <c r="F141" s="23" t="s">
        <v>405</v>
      </c>
      <c r="G141" s="23" t="s">
        <v>444</v>
      </c>
      <c r="J141" s="24" t="s">
        <v>392</v>
      </c>
      <c r="K141" s="24" t="str">
        <f>+VLOOKUP(J141,tblKatalog[],2)</f>
        <v>Lem Dextone Instant Glue</v>
      </c>
      <c r="L141" s="46">
        <f>+SUMIF($B$8:$B$999965,"GAA136",$E$8:G$999965)</f>
        <v>0</v>
      </c>
    </row>
    <row r="142" spans="1:12" x14ac:dyDescent="0.25">
      <c r="A142" s="21">
        <v>46206</v>
      </c>
      <c r="B142" s="42" t="s">
        <v>321</v>
      </c>
      <c r="C142" s="26" t="str">
        <f>+VLOOKUP(tblKeluar[[#This Row],[Kode Barang]],tblKatalog[],2)</f>
        <v>Post It Sedang</v>
      </c>
      <c r="D142" s="26" t="str">
        <f>+VLOOKUP(tblKeluar[[#This Row],[Kode Barang]],tblKatalog[],3)</f>
        <v>BIG 76x51 mm</v>
      </c>
      <c r="E142" s="1">
        <v>1</v>
      </c>
      <c r="F142" s="23" t="s">
        <v>405</v>
      </c>
      <c r="G142" s="23" t="s">
        <v>444</v>
      </c>
      <c r="J142" s="24" t="s">
        <v>395</v>
      </c>
      <c r="K142" s="24" t="str">
        <f>+VLOOKUP(J142,tblKatalog[],2)</f>
        <v>Scotch Electrical Tape Super 33+</v>
      </c>
      <c r="L142" s="46">
        <f>+SUMIF($B$8:$B$999965,"GAA137",$E$8:G$999965)</f>
        <v>0</v>
      </c>
    </row>
    <row r="143" spans="1:12" x14ac:dyDescent="0.25">
      <c r="A143" s="21">
        <v>46209</v>
      </c>
      <c r="B143" s="42" t="s">
        <v>221</v>
      </c>
      <c r="C143" s="26" t="str">
        <f>+VLOOKUP(tblKeluar[[#This Row],[Kode Barang]],tblKatalog[],2)</f>
        <v>Baterai AA ABC</v>
      </c>
      <c r="D143" s="26" t="str">
        <f>+VLOOKUP(tblKeluar[[#This Row],[Kode Barang]],tblKatalog[],3)</f>
        <v>ABC Alkaline</v>
      </c>
      <c r="E143" s="1">
        <v>1</v>
      </c>
      <c r="F143" s="23" t="s">
        <v>405</v>
      </c>
      <c r="G143" s="23" t="s">
        <v>447</v>
      </c>
      <c r="J143" s="24" t="s">
        <v>398</v>
      </c>
      <c r="K143" s="24" t="str">
        <f>+VLOOKUP(J143,tblKatalog[],2)</f>
        <v>Post It Jumbo</v>
      </c>
      <c r="L143" s="46">
        <f>+SUMIF($B$8:$B$999965,"GAA138",$E$8:G$999965)</f>
        <v>1</v>
      </c>
    </row>
    <row r="144" spans="1:12" x14ac:dyDescent="0.25">
      <c r="A144" s="21">
        <v>46211</v>
      </c>
      <c r="B144" s="42" t="s">
        <v>285</v>
      </c>
      <c r="C144" s="26" t="str">
        <f>+VLOOKUP(tblKeluar[[#This Row],[Kode Barang]],tblKatalog[],2)</f>
        <v>Nota 1 Ply</v>
      </c>
      <c r="D144" s="26" t="str">
        <f>+VLOOKUP(tblKeluar[[#This Row],[Kode Barang]],tblKatalog[],3)</f>
        <v>Paperline @108x155 mm</v>
      </c>
      <c r="E144" s="1">
        <v>1</v>
      </c>
      <c r="F144" s="23" t="s">
        <v>405</v>
      </c>
      <c r="G144" s="23" t="s">
        <v>444</v>
      </c>
      <c r="J144" s="24" t="s">
        <v>401</v>
      </c>
      <c r="K144" s="24" t="str">
        <f>+VLOOKUP(J144,tblKatalog[],2)</f>
        <v>Super Glossy Photo Paper A4</v>
      </c>
      <c r="L144" s="46">
        <f>+SUMIF($B$8:$B$999965,"GAA139",$E$8:G$999965)</f>
        <v>0</v>
      </c>
    </row>
    <row r="145" spans="1:12" x14ac:dyDescent="0.25">
      <c r="A145" s="21">
        <v>46211</v>
      </c>
      <c r="B145" s="42" t="s">
        <v>28</v>
      </c>
      <c r="C145" s="26" t="str">
        <f>+VLOOKUP(tblKeluar[[#This Row],[Kode Barang]],tblKatalog[],2)</f>
        <v>Lakban Coklat Besar</v>
      </c>
      <c r="D145" s="26" t="str">
        <f>+VLOOKUP(tblKeluar[[#This Row],[Kode Barang]],tblKatalog[],3)</f>
        <v>Daimaru @48mm</v>
      </c>
      <c r="E145" s="1">
        <v>1</v>
      </c>
      <c r="F145" s="23" t="s">
        <v>405</v>
      </c>
      <c r="G145" s="23" t="s">
        <v>444</v>
      </c>
      <c r="J145" s="24" t="s">
        <v>406</v>
      </c>
      <c r="K145" s="24" t="str">
        <f>+VLOOKUP(J145,tblKatalog[],2)</f>
        <v>Papan Scanner</v>
      </c>
      <c r="L145" s="46">
        <f>+SUMIF($B$8:$B$999965,"GAA140",$E$8:G$999965)</f>
        <v>1</v>
      </c>
    </row>
    <row r="146" spans="1:12" x14ac:dyDescent="0.25">
      <c r="A146" s="21">
        <v>46216</v>
      </c>
      <c r="B146" s="42" t="s">
        <v>221</v>
      </c>
      <c r="C146" s="26" t="str">
        <f>+VLOOKUP(tblKeluar[[#This Row],[Kode Barang]],tblKatalog[],2)</f>
        <v>Baterai AA ABC</v>
      </c>
      <c r="D146" s="26" t="str">
        <f>+VLOOKUP(tblKeluar[[#This Row],[Kode Barang]],tblKatalog[],3)</f>
        <v>ABC Alkaline</v>
      </c>
      <c r="E146" s="1">
        <v>1</v>
      </c>
      <c r="F146" s="23" t="s">
        <v>405</v>
      </c>
      <c r="G146" s="23" t="s">
        <v>443</v>
      </c>
      <c r="J146" s="24" t="s">
        <v>409</v>
      </c>
      <c r="K146" s="24" t="str">
        <f>+VLOOKUP(J146,tblKatalog[],2)</f>
        <v>Spidol 12 Colour</v>
      </c>
      <c r="L146" s="46">
        <f>+SUMIF($B$8:$B$999965,"GAA141",$E$8:G$999965)</f>
        <v>0</v>
      </c>
    </row>
    <row r="147" spans="1:12" x14ac:dyDescent="0.25">
      <c r="A147" s="21">
        <v>46223</v>
      </c>
      <c r="B147" s="42" t="s">
        <v>111</v>
      </c>
      <c r="C147" s="26" t="str">
        <f>+VLOOKUP(tblKeluar[[#This Row],[Kode Barang]],tblKatalog[],2)</f>
        <v>Baterai AAA ABC</v>
      </c>
      <c r="D147" s="26" t="str">
        <f>+VLOOKUP(tblKeluar[[#This Row],[Kode Barang]],tblKatalog[],3)</f>
        <v>ABC Alkaline</v>
      </c>
      <c r="E147" s="1">
        <v>3</v>
      </c>
      <c r="F147" s="23" t="s">
        <v>456</v>
      </c>
      <c r="G147" s="23" t="s">
        <v>453</v>
      </c>
      <c r="J147" s="24" t="s">
        <v>412</v>
      </c>
      <c r="K147" s="24" t="str">
        <f>+VLOOKUP(J147,tblKatalog[],2)</f>
        <v>Amplop Coklat Polos</v>
      </c>
      <c r="L147" s="46">
        <f>+SUMIF($B$8:$B$999965,"GAA142",$E$8:G$999965)</f>
        <v>0</v>
      </c>
    </row>
    <row r="148" spans="1:12" x14ac:dyDescent="0.25">
      <c r="A148" s="21">
        <v>46224</v>
      </c>
      <c r="B148" s="42" t="s">
        <v>111</v>
      </c>
      <c r="C148" s="26" t="str">
        <f>+VLOOKUP(tblKeluar[[#This Row],[Kode Barang]],tblKatalog[],2)</f>
        <v>Baterai AAA ABC</v>
      </c>
      <c r="D148" s="26" t="str">
        <f>+VLOOKUP(tblKeluar[[#This Row],[Kode Barang]],tblKatalog[],3)</f>
        <v>ABC Alkaline</v>
      </c>
      <c r="E148" s="1">
        <v>2</v>
      </c>
      <c r="F148" s="23" t="s">
        <v>445</v>
      </c>
      <c r="G148" s="23" t="s">
        <v>467</v>
      </c>
      <c r="J148" s="24" t="s">
        <v>415</v>
      </c>
      <c r="K148" s="24" t="str">
        <f>+VLOOKUP(J148,tblKatalog[],2)</f>
        <v>Paper Tray</v>
      </c>
      <c r="L148" s="46">
        <f>+SUMIF($B$8:$B$999965,"GAA143",$E$8:G$999965)</f>
        <v>0</v>
      </c>
    </row>
    <row r="149" spans="1:12" x14ac:dyDescent="0.25">
      <c r="A149" s="21">
        <v>46224</v>
      </c>
      <c r="B149" s="42" t="s">
        <v>221</v>
      </c>
      <c r="C149" s="26" t="str">
        <f>+VLOOKUP(tblKeluar[[#This Row],[Kode Barang]],tblKatalog[],2)</f>
        <v>Baterai AA ABC</v>
      </c>
      <c r="D149" s="26" t="str">
        <f>+VLOOKUP(tblKeluar[[#This Row],[Kode Barang]],tblKatalog[],3)</f>
        <v>ABC Alkaline</v>
      </c>
      <c r="E149" s="1">
        <v>1</v>
      </c>
      <c r="F149" s="23" t="s">
        <v>405</v>
      </c>
      <c r="G149" s="23" t="s">
        <v>443</v>
      </c>
      <c r="J149" s="24" t="s">
        <v>416</v>
      </c>
      <c r="K149" s="24" t="str">
        <f>+VLOOKUP(J149,tblKatalog[],2)</f>
        <v>Desk Pen Holder</v>
      </c>
      <c r="L149" s="46">
        <f>+SUMIF($B$8:$B$999965,"GAA144",$E$8:G$999965)</f>
        <v>0</v>
      </c>
    </row>
    <row r="150" spans="1:12" x14ac:dyDescent="0.25">
      <c r="A150" s="21">
        <v>46224</v>
      </c>
      <c r="B150" s="42" t="s">
        <v>348</v>
      </c>
      <c r="C150" s="26" t="str">
        <f>+VLOOKUP(tblKeluar[[#This Row],[Kode Barang]],tblKatalog[],2)</f>
        <v>Pulpen Gel Hitam 0,5mm</v>
      </c>
      <c r="D150" s="26" t="str">
        <f>+VLOOKUP(tblKeluar[[#This Row],[Kode Barang]],tblKatalog[],3)</f>
        <v>Kenko @1box=12ea</v>
      </c>
      <c r="E150" s="1">
        <v>1</v>
      </c>
      <c r="F150" s="23" t="s">
        <v>445</v>
      </c>
      <c r="G150" s="23" t="s">
        <v>451</v>
      </c>
      <c r="J150" s="24" t="s">
        <v>420</v>
      </c>
      <c r="K150" s="24" t="str">
        <f>+VLOOKUP(J150,tblKatalog[],2)</f>
        <v>Kertas A4 80 Gram</v>
      </c>
      <c r="L150" s="46">
        <f>+SUMIF($B$8:$B$999965,"GAA145",$E$8:G$999965)</f>
        <v>0</v>
      </c>
    </row>
    <row r="151" spans="1:12" x14ac:dyDescent="0.25">
      <c r="A151" s="21">
        <v>46230</v>
      </c>
      <c r="B151" s="42" t="s">
        <v>221</v>
      </c>
      <c r="C151" s="26" t="str">
        <f>+VLOOKUP(tblKeluar[[#This Row],[Kode Barang]],tblKatalog[],2)</f>
        <v>Baterai AA ABC</v>
      </c>
      <c r="D151" s="26" t="str">
        <f>+VLOOKUP(tblKeluar[[#This Row],[Kode Barang]],tblKatalog[],3)</f>
        <v>ABC Alkaline</v>
      </c>
      <c r="E151" s="1">
        <v>1</v>
      </c>
      <c r="F151" s="23" t="s">
        <v>405</v>
      </c>
      <c r="G151" s="23" t="s">
        <v>447</v>
      </c>
      <c r="J151" s="24" t="s">
        <v>423</v>
      </c>
      <c r="K151" s="24" t="str">
        <f>+VLOOKUP(J151,tblKatalog[],2)</f>
        <v>Bantex Box File 4011 10 CM</v>
      </c>
      <c r="L151" s="46">
        <f>+SUMIF($B$8:$B$999965,"GAA146",$E$8:G$999965)</f>
        <v>0</v>
      </c>
    </row>
    <row r="152" spans="1:12" x14ac:dyDescent="0.25">
      <c r="A152" s="21">
        <v>46230</v>
      </c>
      <c r="B152" s="42" t="s">
        <v>29</v>
      </c>
      <c r="C152" s="26" t="str">
        <f>+VLOOKUP(tblKeluar[[#This Row],[Kode Barang]],tblKatalog[],2)</f>
        <v>Lakban Bening Besar</v>
      </c>
      <c r="D152" s="26" t="str">
        <f>+VLOOKUP(tblKeluar[[#This Row],[Kode Barang]],tblKatalog[],3)</f>
        <v>Daimaru @48mm</v>
      </c>
      <c r="E152" s="1">
        <v>1</v>
      </c>
      <c r="F152" s="23" t="s">
        <v>405</v>
      </c>
      <c r="G152" s="23" t="s">
        <v>443</v>
      </c>
    </row>
    <row r="153" spans="1:12" x14ac:dyDescent="0.25">
      <c r="A153" s="21">
        <v>46233</v>
      </c>
      <c r="B153" s="42" t="s">
        <v>348</v>
      </c>
      <c r="C153" s="26" t="str">
        <f>+VLOOKUP(tblKeluar[[#This Row],[Kode Barang]],tblKatalog[],2)</f>
        <v>Pulpen Gel Hitam 0,5mm</v>
      </c>
      <c r="D153" s="26" t="str">
        <f>+VLOOKUP(tblKeluar[[#This Row],[Kode Barang]],tblKatalog[],3)</f>
        <v>Kenko @1box=12ea</v>
      </c>
      <c r="E153" s="1">
        <v>1</v>
      </c>
      <c r="F153" s="23" t="s">
        <v>405</v>
      </c>
      <c r="G153" s="23" t="s">
        <v>444</v>
      </c>
    </row>
    <row r="154" spans="1:12" x14ac:dyDescent="0.25">
      <c r="A154" s="21">
        <v>46233</v>
      </c>
      <c r="B154" s="42" t="s">
        <v>106</v>
      </c>
      <c r="C154" s="26" t="str">
        <f>+VLOOKUP(tblKeluar[[#This Row],[Kode Barang]],tblKatalog[],2)</f>
        <v>Trigonal Clip No. 03</v>
      </c>
      <c r="D154" s="26" t="str">
        <f>+VLOOKUP(tblKeluar[[#This Row],[Kode Barang]],tblKatalog[],3)</f>
        <v>Joyko @1box kecil = 50 pcs</v>
      </c>
      <c r="E154" s="1">
        <v>1</v>
      </c>
      <c r="F154" s="23" t="s">
        <v>405</v>
      </c>
      <c r="G154" s="23" t="s">
        <v>444</v>
      </c>
    </row>
    <row r="155" spans="1:12" x14ac:dyDescent="0.25">
      <c r="A155" s="21">
        <v>46235</v>
      </c>
      <c r="B155" s="42" t="s">
        <v>221</v>
      </c>
      <c r="C155" s="26" t="str">
        <f>+VLOOKUP(tblKeluar[[#This Row],[Kode Barang]],tblKatalog[],2)</f>
        <v>Baterai AA ABC</v>
      </c>
      <c r="D155" s="26" t="str">
        <f>+VLOOKUP(tblKeluar[[#This Row],[Kode Barang]],tblKatalog[],3)</f>
        <v>ABC Alkaline</v>
      </c>
      <c r="E155" s="1">
        <v>1</v>
      </c>
      <c r="F155" s="23" t="s">
        <v>445</v>
      </c>
      <c r="G155" s="23" t="s">
        <v>463</v>
      </c>
    </row>
    <row r="156" spans="1:12" x14ac:dyDescent="0.25">
      <c r="A156" s="21">
        <v>46235</v>
      </c>
      <c r="B156" s="42" t="s">
        <v>301</v>
      </c>
      <c r="C156" s="26" t="str">
        <f>+VLOOKUP(tblKeluar[[#This Row],[Kode Barang]],tblKatalog[],2)</f>
        <v>Double Tape Sedang</v>
      </c>
      <c r="D156" s="26" t="str">
        <f>+VLOOKUP(tblKeluar[[#This Row],[Kode Barang]],tblKatalog[],3)</f>
        <v>Daimaru @24mm</v>
      </c>
      <c r="E156" s="1">
        <v>1</v>
      </c>
      <c r="F156" s="23" t="s">
        <v>405</v>
      </c>
      <c r="G156" s="23" t="s">
        <v>443</v>
      </c>
    </row>
    <row r="157" spans="1:12" x14ac:dyDescent="0.25">
      <c r="A157" s="21">
        <v>46239</v>
      </c>
      <c r="B157" s="42" t="s">
        <v>110</v>
      </c>
      <c r="C157" s="26" t="str">
        <f>+VLOOKUP(tblKeluar[[#This Row],[Kode Barang]],tblKatalog[],2)</f>
        <v>Kwitansi Kecil</v>
      </c>
      <c r="D157" s="26" t="str">
        <f>+VLOOKUP(tblKeluar[[#This Row],[Kode Barang]],tblKatalog[],3)</f>
        <v>Paperline @40 Sheets</v>
      </c>
      <c r="E157" s="1">
        <v>1</v>
      </c>
      <c r="F157" s="23" t="s">
        <v>405</v>
      </c>
      <c r="G157" s="23" t="s">
        <v>447</v>
      </c>
    </row>
    <row r="158" spans="1:12" x14ac:dyDescent="0.25">
      <c r="A158" s="21">
        <v>46239</v>
      </c>
      <c r="B158" s="42" t="s">
        <v>321</v>
      </c>
      <c r="C158" s="26" t="str">
        <f>+VLOOKUP(tblKeluar[[#This Row],[Kode Barang]],tblKatalog[],2)</f>
        <v>Post It Sedang</v>
      </c>
      <c r="D158" s="26" t="str">
        <f>+VLOOKUP(tblKeluar[[#This Row],[Kode Barang]],tblKatalog[],3)</f>
        <v>BIG 76x51 mm</v>
      </c>
      <c r="E158" s="1">
        <v>1</v>
      </c>
      <c r="F158" s="23" t="s">
        <v>405</v>
      </c>
      <c r="G158" s="23" t="s">
        <v>447</v>
      </c>
      <c r="J158" s="57" t="s">
        <v>18</v>
      </c>
      <c r="K158" s="58"/>
      <c r="L158" s="59"/>
    </row>
    <row r="159" spans="1:12" x14ac:dyDescent="0.25">
      <c r="A159" s="21">
        <v>46239</v>
      </c>
      <c r="B159" s="42" t="s">
        <v>106</v>
      </c>
      <c r="C159" s="26" t="str">
        <f>+VLOOKUP(tblKeluar[[#This Row],[Kode Barang]],tblKatalog[],2)</f>
        <v>Trigonal Clip No. 03</v>
      </c>
      <c r="D159" s="26" t="str">
        <f>+VLOOKUP(tblKeluar[[#This Row],[Kode Barang]],tblKatalog[],3)</f>
        <v>Joyko @1box kecil = 50 pcs</v>
      </c>
      <c r="E159" s="1">
        <v>1</v>
      </c>
      <c r="F159" s="23" t="s">
        <v>405</v>
      </c>
      <c r="G159" s="23" t="s">
        <v>447</v>
      </c>
      <c r="J159" s="52" t="s">
        <v>232</v>
      </c>
      <c r="K159" s="53"/>
      <c r="L159" s="22">
        <f>+COUNTIF($F$8:$F$999976,"ACCOUNTING")</f>
        <v>27</v>
      </c>
    </row>
    <row r="160" spans="1:12" x14ac:dyDescent="0.25">
      <c r="A160" s="21">
        <v>46241</v>
      </c>
      <c r="B160" s="42" t="s">
        <v>221</v>
      </c>
      <c r="C160" s="26" t="str">
        <f>+VLOOKUP(tblKeluar[[#This Row],[Kode Barang]],tblKatalog[],2)</f>
        <v>Baterai AA ABC</v>
      </c>
      <c r="D160" s="26" t="str">
        <f>+VLOOKUP(tblKeluar[[#This Row],[Kode Barang]],tblKatalog[],3)</f>
        <v>ABC Alkaline</v>
      </c>
      <c r="E160" s="1">
        <v>1</v>
      </c>
      <c r="F160" s="23" t="s">
        <v>445</v>
      </c>
      <c r="G160" s="23" t="s">
        <v>467</v>
      </c>
      <c r="J160" s="52" t="s">
        <v>231</v>
      </c>
      <c r="K160" s="53"/>
      <c r="L160" s="22">
        <f>+COUNTIF($F$8:$F$999976,"CORSEC")</f>
        <v>13</v>
      </c>
    </row>
    <row r="161" spans="1:12" x14ac:dyDescent="0.25">
      <c r="A161" s="21">
        <v>46241</v>
      </c>
      <c r="B161" s="42" t="s">
        <v>348</v>
      </c>
      <c r="C161" s="26" t="str">
        <f>+VLOOKUP(tblKeluar[[#This Row],[Kode Barang]],tblKatalog[],2)</f>
        <v>Pulpen Gel Hitam 0,5mm</v>
      </c>
      <c r="D161" s="26" t="str">
        <f>+VLOOKUP(tblKeluar[[#This Row],[Kode Barang]],tblKatalog[],3)</f>
        <v>Kenko @1box=12ea</v>
      </c>
      <c r="E161" s="1">
        <v>1</v>
      </c>
      <c r="F161" s="23" t="s">
        <v>405</v>
      </c>
      <c r="G161" s="23" t="s">
        <v>452</v>
      </c>
      <c r="J161" s="52" t="s">
        <v>225</v>
      </c>
      <c r="K161" s="53"/>
      <c r="L161" s="22">
        <f>+COUNTIF($F$8:$F$999976,"IAS")</f>
        <v>10</v>
      </c>
    </row>
    <row r="162" spans="1:12" x14ac:dyDescent="0.25">
      <c r="A162" s="21">
        <v>46245</v>
      </c>
      <c r="B162" s="42" t="s">
        <v>147</v>
      </c>
      <c r="C162" s="26" t="str">
        <f>+VLOOKUP(tblKeluar[[#This Row],[Kode Barang]],tblKatalog[],2)</f>
        <v>Kertas A4 @70gr</v>
      </c>
      <c r="D162" s="26" t="str">
        <f>+VLOOKUP(tblKeluar[[#This Row],[Kode Barang]],tblKatalog[],3)</f>
        <v>Kiky @1 Rim</v>
      </c>
      <c r="E162" s="1">
        <v>1</v>
      </c>
      <c r="F162" s="23" t="s">
        <v>458</v>
      </c>
      <c r="G162" s="23" t="s">
        <v>459</v>
      </c>
      <c r="J162" s="52" t="s">
        <v>228</v>
      </c>
      <c r="K162" s="53"/>
      <c r="L162" s="22">
        <f>+COUNTIF($F$8:$F$999976,"IT")</f>
        <v>13</v>
      </c>
    </row>
    <row r="163" spans="1:12" x14ac:dyDescent="0.25">
      <c r="A163" s="21">
        <v>46246</v>
      </c>
      <c r="B163" s="42" t="s">
        <v>147</v>
      </c>
      <c r="C163" s="26" t="str">
        <f>+VLOOKUP(tblKeluar[[#This Row],[Kode Barang]],tblKatalog[],2)</f>
        <v>Kertas A4 @70gr</v>
      </c>
      <c r="D163" s="26" t="str">
        <f>+VLOOKUP(tblKeluar[[#This Row],[Kode Barang]],tblKatalog[],3)</f>
        <v>Kiky @1 Rim</v>
      </c>
      <c r="E163" s="1">
        <v>1</v>
      </c>
      <c r="F163" s="23" t="s">
        <v>405</v>
      </c>
      <c r="G163" s="23" t="s">
        <v>444</v>
      </c>
      <c r="J163" s="52" t="s">
        <v>230</v>
      </c>
      <c r="K163" s="53"/>
      <c r="L163" s="22">
        <f>+COUNTIF($F$8:$F$999976,"PLANT")</f>
        <v>16</v>
      </c>
    </row>
    <row r="164" spans="1:12" x14ac:dyDescent="0.25">
      <c r="A164" s="21">
        <v>46252</v>
      </c>
      <c r="B164" s="42" t="s">
        <v>285</v>
      </c>
      <c r="C164" s="26" t="str">
        <f>+VLOOKUP(tblKeluar[[#This Row],[Kode Barang]],tblKatalog[],2)</f>
        <v>Nota 1 Ply</v>
      </c>
      <c r="D164" s="26" t="str">
        <f>+VLOOKUP(tblKeluar[[#This Row],[Kode Barang]],tblKatalog[],3)</f>
        <v>Paperline @108x155 mm</v>
      </c>
      <c r="E164" s="1">
        <v>1</v>
      </c>
      <c r="F164" s="23" t="s">
        <v>405</v>
      </c>
      <c r="G164" s="23" t="s">
        <v>443</v>
      </c>
      <c r="J164" s="52" t="s">
        <v>233</v>
      </c>
      <c r="K164" s="53"/>
      <c r="L164" s="22">
        <f>+COUNTIF($F$8:$F$999976,"RND")</f>
        <v>6</v>
      </c>
    </row>
    <row r="165" spans="1:12" x14ac:dyDescent="0.25">
      <c r="A165" s="21">
        <v>46255</v>
      </c>
      <c r="B165" s="42" t="s">
        <v>285</v>
      </c>
      <c r="C165" s="26" t="str">
        <f>+VLOOKUP(tblKeluar[[#This Row],[Kode Barang]],tblKatalog[],2)</f>
        <v>Nota 1 Ply</v>
      </c>
      <c r="D165" s="26" t="str">
        <f>+VLOOKUP(tblKeluar[[#This Row],[Kode Barang]],tblKatalog[],3)</f>
        <v>Paperline @108x155 mm</v>
      </c>
      <c r="E165" s="1">
        <v>1</v>
      </c>
      <c r="F165" s="23" t="s">
        <v>405</v>
      </c>
      <c r="G165" s="23" t="s">
        <v>444</v>
      </c>
      <c r="J165" s="52" t="s">
        <v>456</v>
      </c>
      <c r="K165" s="53"/>
      <c r="L165" s="22">
        <f>+COUNTIF($F$8:$F$999976,"PNB")</f>
        <v>18</v>
      </c>
    </row>
    <row r="166" spans="1:12" x14ac:dyDescent="0.25">
      <c r="A166" s="21">
        <v>46260</v>
      </c>
      <c r="B166" s="42" t="s">
        <v>221</v>
      </c>
      <c r="C166" s="26" t="str">
        <f>+VLOOKUP(tblKeluar[[#This Row],[Kode Barang]],tblKatalog[],2)</f>
        <v>Baterai AA ABC</v>
      </c>
      <c r="D166" s="26" t="str">
        <f>+VLOOKUP(tblKeluar[[#This Row],[Kode Barang]],tblKatalog[],3)</f>
        <v>ABC Alkaline</v>
      </c>
      <c r="E166" s="1">
        <v>1</v>
      </c>
      <c r="F166" s="23" t="s">
        <v>470</v>
      </c>
      <c r="G166" s="23" t="s">
        <v>471</v>
      </c>
      <c r="J166" s="52" t="s">
        <v>404</v>
      </c>
      <c r="K166" s="53"/>
      <c r="L166" s="22">
        <f>+COUNTIF($F$8:$F$999976,"DNC")</f>
        <v>0</v>
      </c>
    </row>
    <row r="167" spans="1:12" x14ac:dyDescent="0.25">
      <c r="A167" s="21">
        <v>46260</v>
      </c>
      <c r="B167" s="42" t="s">
        <v>221</v>
      </c>
      <c r="C167" s="26" t="str">
        <f>+VLOOKUP(tblKeluar[[#This Row],[Kode Barang]],tblKatalog[],2)</f>
        <v>Baterai AA ABC</v>
      </c>
      <c r="D167" s="26" t="str">
        <f>+VLOOKUP(tblKeluar[[#This Row],[Kode Barang]],tblKatalog[],3)</f>
        <v>ABC Alkaline</v>
      </c>
      <c r="E167" s="1">
        <v>1</v>
      </c>
      <c r="F167" s="23" t="s">
        <v>405</v>
      </c>
      <c r="G167" s="23" t="s">
        <v>443</v>
      </c>
      <c r="J167" s="52" t="s">
        <v>405</v>
      </c>
      <c r="K167" s="53"/>
      <c r="L167" s="22">
        <f>+COUNTIF($F$8:$F$999976,"HCS")</f>
        <v>90</v>
      </c>
    </row>
    <row r="168" spans="1:12" x14ac:dyDescent="0.25">
      <c r="A168" s="21">
        <v>46261</v>
      </c>
      <c r="B168" s="42" t="s">
        <v>106</v>
      </c>
      <c r="C168" s="26" t="str">
        <f>+VLOOKUP(tblKeluar[[#This Row],[Kode Barang]],tblKatalog[],2)</f>
        <v>Trigonal Clip No. 03</v>
      </c>
      <c r="D168" s="26" t="str">
        <f>+VLOOKUP(tblKeluar[[#This Row],[Kode Barang]],tblKatalog[],3)</f>
        <v>Joyko @1box kecil = 50 pcs</v>
      </c>
      <c r="E168" s="1">
        <v>2</v>
      </c>
      <c r="F168" s="23" t="s">
        <v>445</v>
      </c>
      <c r="G168" s="23" t="s">
        <v>463</v>
      </c>
      <c r="J168" s="52" t="s">
        <v>468</v>
      </c>
      <c r="K168" s="53"/>
      <c r="L168" s="22">
        <f>+COUNTIF($F$8:$F$999976,"SHE")</f>
        <v>0</v>
      </c>
    </row>
    <row r="169" spans="1:12" x14ac:dyDescent="0.25">
      <c r="A169" s="21">
        <v>46261</v>
      </c>
      <c r="B169" s="42" t="s">
        <v>108</v>
      </c>
      <c r="C169" s="26" t="str">
        <f>+VLOOKUP(tblKeluar[[#This Row],[Kode Barang]],tblKatalog[],2)</f>
        <v xml:space="preserve">Pulpen </v>
      </c>
      <c r="D169" s="26" t="str">
        <f>+VLOOKUP(tblKeluar[[#This Row],[Kode Barang]],tblKatalog[],3)</f>
        <v>Snowman @V-7</v>
      </c>
      <c r="E169" s="1">
        <v>1</v>
      </c>
      <c r="F169" s="23" t="s">
        <v>405</v>
      </c>
      <c r="G169" s="23" t="s">
        <v>472</v>
      </c>
      <c r="J169" s="52" t="s">
        <v>469</v>
      </c>
      <c r="K169" s="53"/>
      <c r="L169" s="22">
        <f>+COUNTIF($F$8:$F$999976,"PRODUKSI")</f>
        <v>4</v>
      </c>
    </row>
    <row r="170" spans="1:12" x14ac:dyDescent="0.25">
      <c r="A170" s="21">
        <v>46262</v>
      </c>
      <c r="B170" s="42" t="s">
        <v>348</v>
      </c>
      <c r="C170" s="26" t="str">
        <f>+VLOOKUP(tblKeluar[[#This Row],[Kode Barang]],tblKatalog[],2)</f>
        <v>Pulpen Gel Hitam 0,5mm</v>
      </c>
      <c r="D170" s="26" t="str">
        <f>+VLOOKUP(tblKeluar[[#This Row],[Kode Barang]],tblKatalog[],3)</f>
        <v>Kenko @1box=12ea</v>
      </c>
      <c r="E170" s="1">
        <v>1</v>
      </c>
      <c r="F170" s="23" t="s">
        <v>405</v>
      </c>
      <c r="G170" s="23" t="s">
        <v>442</v>
      </c>
    </row>
    <row r="171" spans="1:12" x14ac:dyDescent="0.25">
      <c r="A171" s="21">
        <v>46262</v>
      </c>
      <c r="B171" s="42" t="s">
        <v>38</v>
      </c>
      <c r="C171" s="26" t="str">
        <f>+VLOOKUP(tblKeluar[[#This Row],[Kode Barang]],tblKatalog[],2)</f>
        <v>Stabilo Hijau</v>
      </c>
      <c r="D171" s="26" t="str">
        <f>+VLOOKUP(tblKeluar[[#This Row],[Kode Barang]],tblKatalog[],3)</f>
        <v>Joyko @HL-2</v>
      </c>
      <c r="E171" s="1">
        <v>2</v>
      </c>
      <c r="F171" s="23" t="s">
        <v>456</v>
      </c>
      <c r="G171" s="23" t="s">
        <v>453</v>
      </c>
    </row>
    <row r="172" spans="1:12" x14ac:dyDescent="0.25">
      <c r="A172" s="21">
        <v>46262</v>
      </c>
      <c r="B172" s="42" t="s">
        <v>348</v>
      </c>
      <c r="C172" s="26" t="str">
        <f>+VLOOKUP(tblKeluar[[#This Row],[Kode Barang]],tblKatalog[],2)</f>
        <v>Pulpen Gel Hitam 0,5mm</v>
      </c>
      <c r="D172" s="26" t="str">
        <f>+VLOOKUP(tblKeluar[[#This Row],[Kode Barang]],tblKatalog[],3)</f>
        <v>Kenko @1box=12ea</v>
      </c>
      <c r="E172" s="1">
        <v>24</v>
      </c>
      <c r="F172" s="23" t="s">
        <v>454</v>
      </c>
      <c r="G172" s="23" t="s">
        <v>455</v>
      </c>
    </row>
    <row r="173" spans="1:12" x14ac:dyDescent="0.25">
      <c r="A173" s="21">
        <v>46262</v>
      </c>
      <c r="B173" s="42" t="s">
        <v>348</v>
      </c>
      <c r="C173" s="26" t="str">
        <f>+VLOOKUP(tblKeluar[[#This Row],[Kode Barang]],tblKatalog[],2)</f>
        <v>Pulpen Gel Hitam 0,5mm</v>
      </c>
      <c r="D173" s="26" t="str">
        <f>+VLOOKUP(tblKeluar[[#This Row],[Kode Barang]],tblKatalog[],3)</f>
        <v>Kenko @1box=12ea</v>
      </c>
      <c r="E173" s="1">
        <v>3</v>
      </c>
      <c r="F173" s="23" t="s">
        <v>456</v>
      </c>
      <c r="G173" s="23" t="s">
        <v>453</v>
      </c>
    </row>
    <row r="174" spans="1:12" x14ac:dyDescent="0.25">
      <c r="A174" s="21">
        <v>46262</v>
      </c>
      <c r="B174" s="42" t="s">
        <v>278</v>
      </c>
      <c r="C174" s="26" t="str">
        <f>+VLOOKUP(tblKeluar[[#This Row],[Kode Barang]],tblKatalog[],2)</f>
        <v>Pulpen 4 Warna</v>
      </c>
      <c r="D174" s="26" t="str">
        <f>+VLOOKUP(tblKeluar[[#This Row],[Kode Barang]],tblKatalog[],3)</f>
        <v>Snowman</v>
      </c>
      <c r="E174" s="1">
        <v>24</v>
      </c>
      <c r="F174" s="23" t="s">
        <v>454</v>
      </c>
      <c r="G174" s="23" t="s">
        <v>455</v>
      </c>
    </row>
    <row r="175" spans="1:12" x14ac:dyDescent="0.25">
      <c r="A175" s="21">
        <v>46262</v>
      </c>
      <c r="B175" s="42" t="s">
        <v>278</v>
      </c>
      <c r="C175" s="26" t="str">
        <f>+VLOOKUP(tblKeluar[[#This Row],[Kode Barang]],tblKatalog[],2)</f>
        <v>Pulpen 4 Warna</v>
      </c>
      <c r="D175" s="26" t="str">
        <f>+VLOOKUP(tblKeluar[[#This Row],[Kode Barang]],tblKatalog[],3)</f>
        <v>Snowman</v>
      </c>
      <c r="E175" s="1">
        <v>12</v>
      </c>
      <c r="F175" s="23" t="s">
        <v>225</v>
      </c>
      <c r="G175" s="23" t="s">
        <v>464</v>
      </c>
    </row>
    <row r="176" spans="1:12" x14ac:dyDescent="0.25">
      <c r="A176" s="21">
        <v>46262</v>
      </c>
      <c r="B176" s="42" t="s">
        <v>41</v>
      </c>
      <c r="C176" s="26" t="str">
        <f>+VLOOKUP(tblKeluar[[#This Row],[Kode Barang]],tblKatalog[],2)</f>
        <v>Pensil</v>
      </c>
      <c r="D176" s="26" t="str">
        <f>+VLOOKUP(tblKeluar[[#This Row],[Kode Barang]],tblKatalog[],3)</f>
        <v>@2B</v>
      </c>
      <c r="E176" s="1">
        <v>12</v>
      </c>
      <c r="F176" s="23" t="s">
        <v>454</v>
      </c>
      <c r="G176" s="23" t="s">
        <v>455</v>
      </c>
    </row>
    <row r="177" spans="1:7" x14ac:dyDescent="0.25">
      <c r="A177" s="21">
        <v>46262</v>
      </c>
      <c r="B177" s="42" t="s">
        <v>176</v>
      </c>
      <c r="C177" s="26" t="str">
        <f>+VLOOKUP(tblKeluar[[#This Row],[Kode Barang]],tblKatalog[],2)</f>
        <v xml:space="preserve">Spidol Permanent Biru </v>
      </c>
      <c r="D177" s="26" t="str">
        <f>+VLOOKUP(tblKeluar[[#This Row],[Kode Barang]],tblKatalog[],3)</f>
        <v>Snowman G-12</v>
      </c>
      <c r="E177" s="1">
        <v>2</v>
      </c>
      <c r="F177" s="23" t="s">
        <v>454</v>
      </c>
      <c r="G177" s="23" t="s">
        <v>455</v>
      </c>
    </row>
    <row r="178" spans="1:7" x14ac:dyDescent="0.25">
      <c r="A178" s="21">
        <v>46262</v>
      </c>
      <c r="B178" s="42" t="s">
        <v>321</v>
      </c>
      <c r="C178" s="26" t="str">
        <f>+VLOOKUP(tblKeluar[[#This Row],[Kode Barang]],tblKatalog[],2)</f>
        <v>Post It Sedang</v>
      </c>
      <c r="D178" s="26" t="str">
        <f>+VLOOKUP(tblKeluar[[#This Row],[Kode Barang]],tblKatalog[],3)</f>
        <v>BIG 76x51 mm</v>
      </c>
      <c r="E178" s="1">
        <v>2</v>
      </c>
      <c r="F178" s="23" t="s">
        <v>456</v>
      </c>
      <c r="G178" s="23" t="s">
        <v>453</v>
      </c>
    </row>
    <row r="179" spans="1:7" x14ac:dyDescent="0.25">
      <c r="A179" s="21">
        <v>46262</v>
      </c>
      <c r="B179" s="42" t="s">
        <v>356</v>
      </c>
      <c r="C179" s="26" t="str">
        <f>+VLOOKUP(tblKeluar[[#This Row],[Kode Barang]],tblKatalog[],2)</f>
        <v>Post It 3 Color</v>
      </c>
      <c r="D179" s="26" t="str">
        <f>+VLOOKUP(tblKeluar[[#This Row],[Kode Barang]],tblKatalog[],3)</f>
        <v>20x50 mm</v>
      </c>
      <c r="E179" s="1">
        <v>5</v>
      </c>
      <c r="F179" s="23" t="s">
        <v>456</v>
      </c>
      <c r="G179" s="23" t="s">
        <v>453</v>
      </c>
    </row>
    <row r="180" spans="1:7" x14ac:dyDescent="0.25">
      <c r="A180" s="21">
        <v>46262</v>
      </c>
      <c r="B180" s="42" t="s">
        <v>180</v>
      </c>
      <c r="C180" s="26" t="str">
        <f>+VLOOKUP(tblKeluar[[#This Row],[Kode Barang]],tblKatalog[],2)</f>
        <v xml:space="preserve">Post It Kecil </v>
      </c>
      <c r="D180" s="26" t="str">
        <f>+VLOOKUP(tblKeluar[[#This Row],[Kode Barang]],tblKatalog[],3)</f>
        <v>BIG 51x38 mm</v>
      </c>
      <c r="E180" s="1">
        <v>4</v>
      </c>
      <c r="F180" s="23" t="s">
        <v>454</v>
      </c>
      <c r="G180" s="23" t="s">
        <v>455</v>
      </c>
    </row>
    <row r="181" spans="1:7" x14ac:dyDescent="0.25">
      <c r="A181" s="21">
        <v>46262</v>
      </c>
      <c r="B181" s="42" t="s">
        <v>180</v>
      </c>
      <c r="C181" s="26" t="str">
        <f>+VLOOKUP(tblKeluar[[#This Row],[Kode Barang]],tblKatalog[],2)</f>
        <v xml:space="preserve">Post It Kecil </v>
      </c>
      <c r="D181" s="26" t="str">
        <f>+VLOOKUP(tblKeluar[[#This Row],[Kode Barang]],tblKatalog[],3)</f>
        <v>BIG 51x38 mm</v>
      </c>
      <c r="E181" s="1">
        <v>1</v>
      </c>
      <c r="F181" s="23" t="s">
        <v>225</v>
      </c>
      <c r="G181" s="23" t="s">
        <v>464</v>
      </c>
    </row>
    <row r="182" spans="1:7" x14ac:dyDescent="0.25">
      <c r="A182" s="21">
        <v>46262</v>
      </c>
      <c r="B182" s="42" t="s">
        <v>181</v>
      </c>
      <c r="C182" s="26" t="str">
        <f>+VLOOKUP(tblKeluar[[#This Row],[Kode Barang]],tblKatalog[],2)</f>
        <v xml:space="preserve">Post It Besar </v>
      </c>
      <c r="D182" s="26" t="str">
        <f>+VLOOKUP(tblKeluar[[#This Row],[Kode Barang]],tblKatalog[],3)</f>
        <v>BIG 76x76 mm</v>
      </c>
      <c r="E182" s="1">
        <v>3</v>
      </c>
      <c r="F182" s="23" t="s">
        <v>454</v>
      </c>
      <c r="G182" s="23" t="s">
        <v>455</v>
      </c>
    </row>
    <row r="183" spans="1:7" x14ac:dyDescent="0.25">
      <c r="A183" s="21">
        <v>46262</v>
      </c>
      <c r="B183" s="42" t="s">
        <v>28</v>
      </c>
      <c r="C183" s="26" t="str">
        <f>+VLOOKUP(tblKeluar[[#This Row],[Kode Barang]],tblKatalog[],2)</f>
        <v>Lakban Coklat Besar</v>
      </c>
      <c r="D183" s="26" t="str">
        <f>+VLOOKUP(tblKeluar[[#This Row],[Kode Barang]],tblKatalog[],3)</f>
        <v>Daimaru @48mm</v>
      </c>
      <c r="E183" s="1">
        <v>3</v>
      </c>
      <c r="F183" s="23" t="s">
        <v>228</v>
      </c>
      <c r="G183" s="23" t="s">
        <v>446</v>
      </c>
    </row>
    <row r="184" spans="1:7" x14ac:dyDescent="0.25">
      <c r="A184" s="21">
        <v>46262</v>
      </c>
      <c r="B184" s="42" t="s">
        <v>27</v>
      </c>
      <c r="C184" s="26" t="str">
        <f>+VLOOKUP(tblKeluar[[#This Row],[Kode Barang]],tblKatalog[],2)</f>
        <v>Lakban Kertas Besar</v>
      </c>
      <c r="D184" s="26" t="str">
        <f>+VLOOKUP(tblKeluar[[#This Row],[Kode Barang]],tblKatalog[],3)</f>
        <v>Eka Tape @48mm</v>
      </c>
      <c r="E184" s="1">
        <v>3</v>
      </c>
      <c r="F184" s="23" t="s">
        <v>228</v>
      </c>
      <c r="G184" s="23" t="s">
        <v>446</v>
      </c>
    </row>
    <row r="185" spans="1:7" x14ac:dyDescent="0.25">
      <c r="A185" s="21">
        <v>46262</v>
      </c>
      <c r="B185" s="42" t="s">
        <v>29</v>
      </c>
      <c r="C185" s="26" t="str">
        <f>+VLOOKUP(tblKeluar[[#This Row],[Kode Barang]],tblKatalog[],2)</f>
        <v>Lakban Bening Besar</v>
      </c>
      <c r="D185" s="26" t="str">
        <f>+VLOOKUP(tblKeluar[[#This Row],[Kode Barang]],tblKatalog[],3)</f>
        <v>Daimaru @48mm</v>
      </c>
      <c r="E185" s="1">
        <v>5</v>
      </c>
      <c r="F185" s="23" t="s">
        <v>454</v>
      </c>
      <c r="G185" s="23" t="s">
        <v>455</v>
      </c>
    </row>
    <row r="186" spans="1:7" x14ac:dyDescent="0.25">
      <c r="A186" s="21">
        <v>46262</v>
      </c>
      <c r="B186" s="42" t="s">
        <v>29</v>
      </c>
      <c r="C186" s="26" t="str">
        <f>+VLOOKUP(tblKeluar[[#This Row],[Kode Barang]],tblKatalog[],2)</f>
        <v>Lakban Bening Besar</v>
      </c>
      <c r="D186" s="26" t="str">
        <f>+VLOOKUP(tblKeluar[[#This Row],[Kode Barang]],tblKatalog[],3)</f>
        <v>Daimaru @48mm</v>
      </c>
      <c r="E186" s="1">
        <v>3</v>
      </c>
      <c r="F186" s="23" t="s">
        <v>228</v>
      </c>
      <c r="G186" s="23" t="s">
        <v>446</v>
      </c>
    </row>
    <row r="187" spans="1:7" x14ac:dyDescent="0.25">
      <c r="A187" s="21">
        <v>46262</v>
      </c>
      <c r="B187" s="42" t="s">
        <v>186</v>
      </c>
      <c r="C187" s="26" t="str">
        <f>+VLOOKUP(tblKeluar[[#This Row],[Kode Barang]],tblKatalog[],2)</f>
        <v>Lakban Hitam Besar</v>
      </c>
      <c r="D187" s="26" t="str">
        <f>+VLOOKUP(tblKeluar[[#This Row],[Kode Barang]],tblKatalog[],3)</f>
        <v>Daimaru @48mm</v>
      </c>
      <c r="E187" s="1">
        <v>3</v>
      </c>
      <c r="F187" s="23" t="s">
        <v>458</v>
      </c>
      <c r="G187" s="23" t="s">
        <v>459</v>
      </c>
    </row>
    <row r="188" spans="1:7" x14ac:dyDescent="0.25">
      <c r="A188" s="21">
        <v>46262</v>
      </c>
      <c r="B188" s="42" t="s">
        <v>374</v>
      </c>
      <c r="C188" s="26" t="str">
        <f>+VLOOKUP(tblKeluar[[#This Row],[Kode Barang]],tblKatalog[],2)</f>
        <v>Penghapus Pensil</v>
      </c>
      <c r="D188" s="26" t="str">
        <f>+VLOOKUP(tblKeluar[[#This Row],[Kode Barang]],tblKatalog[],3)</f>
        <v>Penghapus</v>
      </c>
      <c r="E188" s="1">
        <v>3</v>
      </c>
      <c r="F188" s="23" t="s">
        <v>454</v>
      </c>
      <c r="G188" s="23" t="s">
        <v>455</v>
      </c>
    </row>
    <row r="189" spans="1:7" x14ac:dyDescent="0.25">
      <c r="A189" s="21">
        <v>46262</v>
      </c>
      <c r="B189" s="42" t="s">
        <v>332</v>
      </c>
      <c r="C189" s="26" t="str">
        <f>+VLOOKUP(tblKeluar[[#This Row],[Kode Barang]],tblKatalog[],2)</f>
        <v xml:space="preserve">Staples </v>
      </c>
      <c r="D189" s="26" t="str">
        <f>+VLOOKUP(tblKeluar[[#This Row],[Kode Barang]],tblKatalog[],3)</f>
        <v>Joyko HD-10</v>
      </c>
      <c r="E189" s="1">
        <v>1</v>
      </c>
      <c r="F189" s="23" t="s">
        <v>454</v>
      </c>
      <c r="G189" s="23" t="s">
        <v>455</v>
      </c>
    </row>
    <row r="190" spans="1:7" x14ac:dyDescent="0.25">
      <c r="A190" s="21">
        <v>46262</v>
      </c>
      <c r="B190" s="42" t="s">
        <v>152</v>
      </c>
      <c r="C190" s="26" t="str">
        <f>+VLOOKUP(tblKeluar[[#This Row],[Kode Barang]],tblKatalog[],2)</f>
        <v>Binder Clips@No.260</v>
      </c>
      <c r="D190" s="26" t="str">
        <f>+VLOOKUP(tblKeluar[[#This Row],[Kode Barang]],tblKatalog[],3)</f>
        <v>Kenko @1box</v>
      </c>
      <c r="E190" s="1">
        <v>4</v>
      </c>
      <c r="F190" s="23" t="s">
        <v>454</v>
      </c>
      <c r="G190" s="23" t="s">
        <v>455</v>
      </c>
    </row>
    <row r="191" spans="1:7" x14ac:dyDescent="0.25">
      <c r="A191" s="21">
        <v>46262</v>
      </c>
      <c r="B191" s="42" t="s">
        <v>21</v>
      </c>
      <c r="C191" s="26" t="str">
        <f>+VLOOKUP(tblKeluar[[#This Row],[Kode Barang]],tblKatalog[],2)</f>
        <v>Binder Clips@No.200</v>
      </c>
      <c r="D191" s="26" t="str">
        <f>+VLOOKUP(tblKeluar[[#This Row],[Kode Barang]],tblKatalog[],3)</f>
        <v>Pop 1 @1box = 12 pcs</v>
      </c>
      <c r="E191" s="1">
        <v>5</v>
      </c>
      <c r="F191" s="23" t="s">
        <v>454</v>
      </c>
      <c r="G191" s="23" t="s">
        <v>455</v>
      </c>
    </row>
    <row r="192" spans="1:7" x14ac:dyDescent="0.25">
      <c r="A192" s="21">
        <v>46262</v>
      </c>
      <c r="B192" s="42" t="s">
        <v>344</v>
      </c>
      <c r="C192" s="26" t="str">
        <f>+VLOOKUP(tblKeluar[[#This Row],[Kode Barang]],tblKatalog[],2)</f>
        <v>Binder Clips@No.155</v>
      </c>
      <c r="D192" s="26" t="str">
        <f>+VLOOKUP(tblKeluar[[#This Row],[Kode Barang]],tblKatalog[],3)</f>
        <v>Kenko @1box</v>
      </c>
      <c r="E192" s="1">
        <v>1</v>
      </c>
      <c r="F192" s="23" t="s">
        <v>454</v>
      </c>
      <c r="G192" s="23" t="s">
        <v>455</v>
      </c>
    </row>
    <row r="193" spans="1:7" x14ac:dyDescent="0.25">
      <c r="A193" s="21">
        <v>46262</v>
      </c>
      <c r="B193" s="42" t="s">
        <v>377</v>
      </c>
      <c r="C193" s="26" t="str">
        <f>+VLOOKUP(tblKeluar[[#This Row],[Kode Barang]],tblKatalog[],2)</f>
        <v>Binder Clips@No.111</v>
      </c>
      <c r="D193" s="26" t="str">
        <f>+VLOOKUP(tblKeluar[[#This Row],[Kode Barang]],tblKatalog[],3)</f>
        <v>Kenko @1box</v>
      </c>
      <c r="E193" s="1">
        <v>1</v>
      </c>
      <c r="F193" s="23" t="s">
        <v>454</v>
      </c>
      <c r="G193" s="23" t="s">
        <v>455</v>
      </c>
    </row>
    <row r="194" spans="1:7" x14ac:dyDescent="0.25">
      <c r="A194" s="21">
        <v>46262</v>
      </c>
      <c r="B194" s="42" t="s">
        <v>37</v>
      </c>
      <c r="C194" s="26" t="str">
        <f>+VLOOKUP(tblKeluar[[#This Row],[Kode Barang]],tblKatalog[],2)</f>
        <v>Isi Staples No. 10-1M</v>
      </c>
      <c r="D194" s="26" t="str">
        <f>+VLOOKUP(tblKeluar[[#This Row],[Kode Barang]],tblKatalog[],3)</f>
        <v>Kangaro @1box kecil = 20 ea</v>
      </c>
      <c r="E194" s="1">
        <v>20</v>
      </c>
      <c r="F194" s="23" t="s">
        <v>454</v>
      </c>
      <c r="G194" s="23" t="s">
        <v>455</v>
      </c>
    </row>
    <row r="195" spans="1:7" x14ac:dyDescent="0.25">
      <c r="A195" s="21">
        <v>46262</v>
      </c>
      <c r="B195" s="42" t="s">
        <v>129</v>
      </c>
      <c r="C195" s="26" t="str">
        <f>+VLOOKUP(tblKeluar[[#This Row],[Kode Barang]],tblKatalog[],2)</f>
        <v>Kertas Cover Buffalo Putih A4</v>
      </c>
      <c r="D195" s="26" t="str">
        <f>+VLOOKUP(tblKeluar[[#This Row],[Kode Barang]],tblKatalog[],3)</f>
        <v>@1 Pack = 100 Sheet</v>
      </c>
      <c r="E195" s="1">
        <v>2</v>
      </c>
      <c r="F195" s="23" t="s">
        <v>225</v>
      </c>
      <c r="G195" s="23" t="s">
        <v>464</v>
      </c>
    </row>
    <row r="196" spans="1:7" x14ac:dyDescent="0.25">
      <c r="A196" s="21">
        <v>46262</v>
      </c>
      <c r="B196" s="42" t="s">
        <v>147</v>
      </c>
      <c r="C196" s="26" t="str">
        <f>+VLOOKUP(tblKeluar[[#This Row],[Kode Barang]],tblKatalog[],2)</f>
        <v>Kertas A4 @70gr</v>
      </c>
      <c r="D196" s="26" t="str">
        <f>+VLOOKUP(tblKeluar[[#This Row],[Kode Barang]],tblKatalog[],3)</f>
        <v>Kiky @1 Rim</v>
      </c>
      <c r="E196" s="1">
        <v>10</v>
      </c>
      <c r="F196" s="23" t="s">
        <v>454</v>
      </c>
      <c r="G196" s="23" t="s">
        <v>455</v>
      </c>
    </row>
    <row r="197" spans="1:7" x14ac:dyDescent="0.25">
      <c r="A197" s="21">
        <v>46262</v>
      </c>
      <c r="B197" s="42" t="s">
        <v>147</v>
      </c>
      <c r="C197" s="26" t="str">
        <f>+VLOOKUP(tblKeluar[[#This Row],[Kode Barang]],tblKatalog[],2)</f>
        <v>Kertas A4 @70gr</v>
      </c>
      <c r="D197" s="26" t="str">
        <f>+VLOOKUP(tblKeluar[[#This Row],[Kode Barang]],tblKatalog[],3)</f>
        <v>Kiky @1 Rim</v>
      </c>
      <c r="E197" s="1">
        <v>15</v>
      </c>
      <c r="F197" s="23" t="s">
        <v>458</v>
      </c>
      <c r="G197" s="23" t="s">
        <v>459</v>
      </c>
    </row>
    <row r="198" spans="1:7" x14ac:dyDescent="0.25">
      <c r="A198" s="21">
        <v>46262</v>
      </c>
      <c r="B198" s="42" t="s">
        <v>256</v>
      </c>
      <c r="C198" s="26" t="str">
        <f>+VLOOKUP(tblKeluar[[#This Row],[Kode Barang]],tblKatalog[],2)</f>
        <v>Glossy Sticker Paper</v>
      </c>
      <c r="D198" s="26" t="str">
        <f>+VLOOKUP(tblKeluar[[#This Row],[Kode Barang]],tblKatalog[],3)</f>
        <v>Data Print @1 Pack = 20 Sheet</v>
      </c>
      <c r="E198" s="1">
        <v>1</v>
      </c>
      <c r="F198" s="23" t="s">
        <v>458</v>
      </c>
      <c r="G198" s="23" t="s">
        <v>459</v>
      </c>
    </row>
    <row r="199" spans="1:7" x14ac:dyDescent="0.25">
      <c r="A199" s="21">
        <v>46262</v>
      </c>
      <c r="B199" s="42" t="s">
        <v>34</v>
      </c>
      <c r="C199" s="26" t="str">
        <f>+VLOOKUP(tblKeluar[[#This Row],[Kode Barang]],tblKatalog[],2)</f>
        <v xml:space="preserve">Amplop Putih Polos </v>
      </c>
      <c r="D199" s="26" t="str">
        <f>+VLOOKUP(tblKeluar[[#This Row],[Kode Barang]],tblKatalog[],3)</f>
        <v>Paperline @90</v>
      </c>
      <c r="E199" s="1">
        <v>1</v>
      </c>
      <c r="F199" s="23" t="s">
        <v>458</v>
      </c>
      <c r="G199" s="23" t="s">
        <v>459</v>
      </c>
    </row>
    <row r="200" spans="1:7" x14ac:dyDescent="0.25">
      <c r="A200" s="21">
        <v>46262</v>
      </c>
      <c r="B200" s="42" t="s">
        <v>111</v>
      </c>
      <c r="C200" s="26" t="str">
        <f>+VLOOKUP(tblKeluar[[#This Row],[Kode Barang]],tblKatalog[],2)</f>
        <v>Baterai AAA ABC</v>
      </c>
      <c r="D200" s="26" t="str">
        <f>+VLOOKUP(tblKeluar[[#This Row],[Kode Barang]],tblKatalog[],3)</f>
        <v>ABC Alkaline</v>
      </c>
      <c r="E200" s="1">
        <v>8</v>
      </c>
      <c r="F200" s="23" t="s">
        <v>454</v>
      </c>
      <c r="G200" s="23" t="s">
        <v>455</v>
      </c>
    </row>
    <row r="201" spans="1:7" x14ac:dyDescent="0.25">
      <c r="A201" s="21">
        <v>46262</v>
      </c>
      <c r="B201" s="42" t="s">
        <v>111</v>
      </c>
      <c r="C201" s="26" t="str">
        <f>+VLOOKUP(tblKeluar[[#This Row],[Kode Barang]],tblKatalog[],2)</f>
        <v>Baterai AAA ABC</v>
      </c>
      <c r="D201" s="26" t="str">
        <f>+VLOOKUP(tblKeluar[[#This Row],[Kode Barang]],tblKatalog[],3)</f>
        <v>ABC Alkaline</v>
      </c>
      <c r="E201" s="1">
        <v>6</v>
      </c>
      <c r="F201" s="23" t="s">
        <v>456</v>
      </c>
      <c r="G201" s="23" t="s">
        <v>453</v>
      </c>
    </row>
    <row r="202" spans="1:7" x14ac:dyDescent="0.25">
      <c r="A202" s="21">
        <v>46262</v>
      </c>
      <c r="B202" s="42" t="s">
        <v>79</v>
      </c>
      <c r="C202" s="26" t="str">
        <f>+VLOOKUP(tblKeluar[[#This Row],[Kode Barang]],tblKatalog[],2)</f>
        <v>Spidol Whiteboard Marker Black</v>
      </c>
      <c r="D202" s="26" t="str">
        <f>+VLOOKUP(tblKeluar[[#This Row],[Kode Barang]],tblKatalog[],3)</f>
        <v>Snowman BG-12</v>
      </c>
      <c r="E202" s="1">
        <v>3</v>
      </c>
      <c r="F202" s="23" t="s">
        <v>454</v>
      </c>
      <c r="G202" s="23" t="s">
        <v>455</v>
      </c>
    </row>
    <row r="203" spans="1:7" x14ac:dyDescent="0.25">
      <c r="A203" s="21">
        <v>46262</v>
      </c>
      <c r="B203" s="42" t="s">
        <v>221</v>
      </c>
      <c r="C203" s="26" t="str">
        <f>+VLOOKUP(tblKeluar[[#This Row],[Kode Barang]],tblKatalog[],2)</f>
        <v>Baterai AA ABC</v>
      </c>
      <c r="D203" s="26" t="str">
        <f>+VLOOKUP(tblKeluar[[#This Row],[Kode Barang]],tblKatalog[],3)</f>
        <v>ABC Alkaline</v>
      </c>
      <c r="E203" s="1">
        <v>6</v>
      </c>
      <c r="F203" s="23" t="s">
        <v>454</v>
      </c>
      <c r="G203" s="23" t="s">
        <v>455</v>
      </c>
    </row>
    <row r="204" spans="1:7" x14ac:dyDescent="0.25">
      <c r="A204" s="21">
        <v>46262</v>
      </c>
      <c r="B204" s="42" t="s">
        <v>285</v>
      </c>
      <c r="C204" s="26" t="str">
        <f>+VLOOKUP(tblKeluar[[#This Row],[Kode Barang]],tblKatalog[],2)</f>
        <v>Nota 1 Ply</v>
      </c>
      <c r="D204" s="26" t="str">
        <f>+VLOOKUP(tblKeluar[[#This Row],[Kode Barang]],tblKatalog[],3)</f>
        <v>Paperline @108x155 mm</v>
      </c>
      <c r="E204" s="1">
        <v>3</v>
      </c>
      <c r="F204" s="23" t="s">
        <v>458</v>
      </c>
      <c r="G204" s="23" t="s">
        <v>459</v>
      </c>
    </row>
    <row r="205" spans="1:7" x14ac:dyDescent="0.25">
      <c r="A205" s="21">
        <v>46262</v>
      </c>
      <c r="B205" s="42" t="s">
        <v>110</v>
      </c>
      <c r="C205" s="26" t="str">
        <f>+VLOOKUP(tblKeluar[[#This Row],[Kode Barang]],tblKatalog[],2)</f>
        <v>Kwitansi Kecil</v>
      </c>
      <c r="D205" s="26" t="str">
        <f>+VLOOKUP(tblKeluar[[#This Row],[Kode Barang]],tblKatalog[],3)</f>
        <v>Paperline @40 Sheets</v>
      </c>
      <c r="E205" s="1">
        <v>2</v>
      </c>
      <c r="F205" s="23" t="s">
        <v>458</v>
      </c>
      <c r="G205" s="23" t="s">
        <v>459</v>
      </c>
    </row>
    <row r="206" spans="1:7" x14ac:dyDescent="0.25">
      <c r="A206" s="21"/>
      <c r="B206" s="42"/>
      <c r="C206" s="26" t="e">
        <f>+VLOOKUP(tblKeluar[[#This Row],[Kode Barang]],tblKatalog[],2)</f>
        <v>#N/A</v>
      </c>
      <c r="D206" s="26" t="e">
        <f>+VLOOKUP(tblKeluar[[#This Row],[Kode Barang]],tblKatalog[],3)</f>
        <v>#N/A</v>
      </c>
      <c r="E206" s="1"/>
      <c r="F206" s="23"/>
      <c r="G206" s="23"/>
    </row>
    <row r="207" spans="1:7" x14ac:dyDescent="0.25">
      <c r="A207" s="21"/>
      <c r="B207" s="42"/>
      <c r="C207" s="26" t="e">
        <f>+VLOOKUP(tblKeluar[[#This Row],[Kode Barang]],tblKatalog[],2)</f>
        <v>#N/A</v>
      </c>
      <c r="D207" s="26" t="e">
        <f>+VLOOKUP(tblKeluar[[#This Row],[Kode Barang]],tblKatalog[],3)</f>
        <v>#N/A</v>
      </c>
      <c r="E207" s="1"/>
      <c r="F207" s="23"/>
      <c r="G207" s="23"/>
    </row>
    <row r="208" spans="1:7" x14ac:dyDescent="0.25">
      <c r="A208" s="21"/>
      <c r="B208" s="42"/>
      <c r="C208" s="26" t="e">
        <f>+VLOOKUP(tblKeluar[[#This Row],[Kode Barang]],tblKatalog[],2)</f>
        <v>#N/A</v>
      </c>
      <c r="D208" s="26" t="e">
        <f>+VLOOKUP(tblKeluar[[#This Row],[Kode Barang]],tblKatalog[],3)</f>
        <v>#N/A</v>
      </c>
      <c r="E208" s="1"/>
      <c r="F208" s="23"/>
      <c r="G208" s="23"/>
    </row>
    <row r="209" spans="1:7" x14ac:dyDescent="0.25">
      <c r="A209" s="21"/>
      <c r="B209" s="42"/>
      <c r="C209" s="26" t="e">
        <f>+VLOOKUP(tblKeluar[[#This Row],[Kode Barang]],tblKatalog[],2)</f>
        <v>#N/A</v>
      </c>
      <c r="D209" s="26" t="e">
        <f>+VLOOKUP(tblKeluar[[#This Row],[Kode Barang]],tblKatalog[],3)</f>
        <v>#N/A</v>
      </c>
      <c r="E209" s="1"/>
      <c r="F209" s="23"/>
      <c r="G209" s="23"/>
    </row>
    <row r="210" spans="1:7" x14ac:dyDescent="0.25">
      <c r="A210" s="21"/>
      <c r="B210" s="42"/>
      <c r="C210" s="26" t="e">
        <f>+VLOOKUP(tblKeluar[[#This Row],[Kode Barang]],tblKatalog[],2)</f>
        <v>#N/A</v>
      </c>
      <c r="D210" s="26" t="e">
        <f>+VLOOKUP(tblKeluar[[#This Row],[Kode Barang]],tblKatalog[],3)</f>
        <v>#N/A</v>
      </c>
      <c r="E210" s="1"/>
      <c r="F210" s="23"/>
      <c r="G210" s="23"/>
    </row>
    <row r="211" spans="1:7" x14ac:dyDescent="0.25">
      <c r="A211" s="21"/>
      <c r="B211" s="42"/>
      <c r="C211" s="26" t="e">
        <f>+VLOOKUP(tblKeluar[[#This Row],[Kode Barang]],tblKatalog[],2)</f>
        <v>#N/A</v>
      </c>
      <c r="D211" s="26" t="e">
        <f>+VLOOKUP(tblKeluar[[#This Row],[Kode Barang]],tblKatalog[],3)</f>
        <v>#N/A</v>
      </c>
      <c r="E211" s="1"/>
      <c r="F211" s="23"/>
      <c r="G211" s="23"/>
    </row>
    <row r="212" spans="1:7" x14ac:dyDescent="0.25">
      <c r="A212" s="21"/>
      <c r="B212" s="42"/>
      <c r="C212" s="26" t="e">
        <f>+VLOOKUP(tblKeluar[[#This Row],[Kode Barang]],tblKatalog[],2)</f>
        <v>#N/A</v>
      </c>
      <c r="D212" s="26" t="e">
        <f>+VLOOKUP(tblKeluar[[#This Row],[Kode Barang]],tblKatalog[],3)</f>
        <v>#N/A</v>
      </c>
      <c r="E212" s="1"/>
      <c r="F212" s="23"/>
      <c r="G212" s="23"/>
    </row>
    <row r="213" spans="1:7" x14ac:dyDescent="0.25">
      <c r="A213" s="21"/>
      <c r="B213" s="42"/>
      <c r="C213" s="26" t="e">
        <f>+VLOOKUP(tblKeluar[[#This Row],[Kode Barang]],tblKatalog[],2)</f>
        <v>#N/A</v>
      </c>
      <c r="D213" s="26" t="e">
        <f>+VLOOKUP(tblKeluar[[#This Row],[Kode Barang]],tblKatalog[],3)</f>
        <v>#N/A</v>
      </c>
      <c r="E213" s="1"/>
      <c r="F213" s="23"/>
      <c r="G213" s="23"/>
    </row>
    <row r="214" spans="1:7" x14ac:dyDescent="0.25">
      <c r="A214" s="21"/>
      <c r="B214" s="42"/>
      <c r="C214" s="26" t="e">
        <f>+VLOOKUP(tblKeluar[[#This Row],[Kode Barang]],tblKatalog[],2)</f>
        <v>#N/A</v>
      </c>
      <c r="D214" s="26" t="e">
        <f>+VLOOKUP(tblKeluar[[#This Row],[Kode Barang]],tblKatalog[],3)</f>
        <v>#N/A</v>
      </c>
      <c r="E214" s="1"/>
      <c r="F214" s="23"/>
      <c r="G214" s="23"/>
    </row>
    <row r="215" spans="1:7" x14ac:dyDescent="0.25">
      <c r="A215" s="21"/>
      <c r="B215" s="42"/>
      <c r="C215" s="26" t="e">
        <f>+VLOOKUP(tblKeluar[[#This Row],[Kode Barang]],tblKatalog[],2)</f>
        <v>#N/A</v>
      </c>
      <c r="D215" s="26" t="e">
        <f>+VLOOKUP(tblKeluar[[#This Row],[Kode Barang]],tblKatalog[],3)</f>
        <v>#N/A</v>
      </c>
      <c r="E215" s="1"/>
      <c r="F215" s="23"/>
      <c r="G215" s="23"/>
    </row>
    <row r="216" spans="1:7" x14ac:dyDescent="0.25">
      <c r="A216" s="21"/>
      <c r="B216" s="42"/>
      <c r="C216" s="26" t="e">
        <f>+VLOOKUP(tblKeluar[[#This Row],[Kode Barang]],tblKatalog[],2)</f>
        <v>#N/A</v>
      </c>
      <c r="D216" s="26" t="e">
        <f>+VLOOKUP(tblKeluar[[#This Row],[Kode Barang]],tblKatalog[],3)</f>
        <v>#N/A</v>
      </c>
      <c r="E216" s="1"/>
      <c r="F216" s="23"/>
      <c r="G216" s="23"/>
    </row>
    <row r="217" spans="1:7" x14ac:dyDescent="0.25">
      <c r="A217" s="21"/>
      <c r="B217" s="42"/>
      <c r="C217" s="26" t="e">
        <f>+VLOOKUP(tblKeluar[[#This Row],[Kode Barang]],tblKatalog[],2)</f>
        <v>#N/A</v>
      </c>
      <c r="D217" s="26" t="e">
        <f>+VLOOKUP(tblKeluar[[#This Row],[Kode Barang]],tblKatalog[],3)</f>
        <v>#N/A</v>
      </c>
      <c r="E217" s="1"/>
      <c r="F217" s="23"/>
      <c r="G217" s="23"/>
    </row>
    <row r="218" spans="1:7" x14ac:dyDescent="0.25">
      <c r="A218" s="21"/>
      <c r="B218" s="42"/>
      <c r="C218" s="26" t="e">
        <f>+VLOOKUP(tblKeluar[[#This Row],[Kode Barang]],tblKatalog[],2)</f>
        <v>#N/A</v>
      </c>
      <c r="D218" s="26" t="e">
        <f>+VLOOKUP(tblKeluar[[#This Row],[Kode Barang]],tblKatalog[],3)</f>
        <v>#N/A</v>
      </c>
      <c r="E218" s="1"/>
      <c r="F218" s="23"/>
      <c r="G218" s="23"/>
    </row>
    <row r="219" spans="1:7" x14ac:dyDescent="0.25">
      <c r="A219" s="21"/>
      <c r="B219" s="42"/>
      <c r="C219" s="26" t="e">
        <f>+VLOOKUP(tblKeluar[[#This Row],[Kode Barang]],tblKatalog[],2)</f>
        <v>#N/A</v>
      </c>
      <c r="D219" s="26" t="e">
        <f>+VLOOKUP(tblKeluar[[#This Row],[Kode Barang]],tblKatalog[],3)</f>
        <v>#N/A</v>
      </c>
      <c r="E219" s="1"/>
      <c r="F219" s="23"/>
      <c r="G219" s="23"/>
    </row>
    <row r="220" spans="1:7" x14ac:dyDescent="0.25">
      <c r="A220" s="21"/>
      <c r="B220" s="42"/>
      <c r="C220" s="26" t="e">
        <f>+VLOOKUP(tblKeluar[[#This Row],[Kode Barang]],tblKatalog[],2)</f>
        <v>#N/A</v>
      </c>
      <c r="D220" s="26" t="e">
        <f>+VLOOKUP(tblKeluar[[#This Row],[Kode Barang]],tblKatalog[],3)</f>
        <v>#N/A</v>
      </c>
      <c r="E220" s="1"/>
      <c r="F220" s="23"/>
      <c r="G220" s="23"/>
    </row>
    <row r="221" spans="1:7" x14ac:dyDescent="0.25">
      <c r="A221" s="21"/>
      <c r="B221" s="42"/>
      <c r="C221" s="26" t="e">
        <f>+VLOOKUP(tblKeluar[[#This Row],[Kode Barang]],tblKatalog[],2)</f>
        <v>#N/A</v>
      </c>
      <c r="D221" s="26" t="e">
        <f>+VLOOKUP(tblKeluar[[#This Row],[Kode Barang]],tblKatalog[],3)</f>
        <v>#N/A</v>
      </c>
      <c r="E221" s="1"/>
      <c r="F221" s="23"/>
      <c r="G221" s="23"/>
    </row>
    <row r="222" spans="1:7" x14ac:dyDescent="0.25">
      <c r="A222" s="21"/>
      <c r="B222" s="42"/>
      <c r="C222" s="26" t="e">
        <f>+VLOOKUP(tblKeluar[[#This Row],[Kode Barang]],tblKatalog[],2)</f>
        <v>#N/A</v>
      </c>
      <c r="D222" s="26" t="e">
        <f>+VLOOKUP(tblKeluar[[#This Row],[Kode Barang]],tblKatalog[],3)</f>
        <v>#N/A</v>
      </c>
      <c r="E222" s="1"/>
      <c r="F222" s="23"/>
      <c r="G222" s="23"/>
    </row>
    <row r="223" spans="1:7" x14ac:dyDescent="0.25">
      <c r="A223" s="21"/>
      <c r="B223" s="42"/>
      <c r="C223" s="26" t="e">
        <f>+VLOOKUP(tblKeluar[[#This Row],[Kode Barang]],tblKatalog[],2)</f>
        <v>#N/A</v>
      </c>
      <c r="D223" s="26" t="e">
        <f>+VLOOKUP(tblKeluar[[#This Row],[Kode Barang]],tblKatalog[],3)</f>
        <v>#N/A</v>
      </c>
      <c r="E223" s="1"/>
      <c r="F223" s="23"/>
      <c r="G223" s="23"/>
    </row>
    <row r="224" spans="1:7" x14ac:dyDescent="0.25">
      <c r="A224" s="21"/>
      <c r="B224" s="42"/>
      <c r="C224" s="26" t="e">
        <f>+VLOOKUP(tblKeluar[[#This Row],[Kode Barang]],tblKatalog[],2)</f>
        <v>#N/A</v>
      </c>
      <c r="D224" s="26" t="e">
        <f>+VLOOKUP(tblKeluar[[#This Row],[Kode Barang]],tblKatalog[],3)</f>
        <v>#N/A</v>
      </c>
      <c r="E224" s="1"/>
      <c r="F224" s="23"/>
      <c r="G224" s="23"/>
    </row>
    <row r="225" spans="1:7" x14ac:dyDescent="0.25">
      <c r="A225" s="21"/>
      <c r="B225" s="42"/>
      <c r="C225" s="26" t="e">
        <f>+VLOOKUP(tblKeluar[[#This Row],[Kode Barang]],tblKatalog[],2)</f>
        <v>#N/A</v>
      </c>
      <c r="D225" s="26" t="e">
        <f>+VLOOKUP(tblKeluar[[#This Row],[Kode Barang]],tblKatalog[],3)</f>
        <v>#N/A</v>
      </c>
      <c r="E225" s="1"/>
      <c r="F225" s="23"/>
      <c r="G225" s="23"/>
    </row>
    <row r="226" spans="1:7" x14ac:dyDescent="0.25">
      <c r="A226" s="21"/>
      <c r="B226" s="42"/>
      <c r="C226" s="26" t="e">
        <f>+VLOOKUP(tblKeluar[[#This Row],[Kode Barang]],tblKatalog[],2)</f>
        <v>#N/A</v>
      </c>
      <c r="D226" s="26" t="e">
        <f>+VLOOKUP(tblKeluar[[#This Row],[Kode Barang]],tblKatalog[],3)</f>
        <v>#N/A</v>
      </c>
      <c r="E226" s="1"/>
      <c r="F226" s="23"/>
      <c r="G226" s="23"/>
    </row>
    <row r="227" spans="1:7" x14ac:dyDescent="0.25">
      <c r="A227" s="21"/>
      <c r="B227" s="42"/>
      <c r="C227" s="26" t="e">
        <f>+VLOOKUP(tblKeluar[[#This Row],[Kode Barang]],tblKatalog[],2)</f>
        <v>#N/A</v>
      </c>
      <c r="D227" s="26" t="e">
        <f>+VLOOKUP(tblKeluar[[#This Row],[Kode Barang]],tblKatalog[],3)</f>
        <v>#N/A</v>
      </c>
      <c r="E227" s="1"/>
      <c r="F227" s="23"/>
      <c r="G227" s="23"/>
    </row>
    <row r="228" spans="1:7" x14ac:dyDescent="0.25">
      <c r="A228" s="21"/>
      <c r="B228" s="42"/>
      <c r="C228" s="26" t="e">
        <f>+VLOOKUP(tblKeluar[[#This Row],[Kode Barang]],tblKatalog[],2)</f>
        <v>#N/A</v>
      </c>
      <c r="D228" s="26" t="e">
        <f>+VLOOKUP(tblKeluar[[#This Row],[Kode Barang]],tblKatalog[],3)</f>
        <v>#N/A</v>
      </c>
      <c r="E228" s="1"/>
      <c r="F228" s="23"/>
      <c r="G228" s="23"/>
    </row>
    <row r="229" spans="1:7" x14ac:dyDescent="0.25">
      <c r="A229" s="21"/>
      <c r="B229" s="42"/>
      <c r="C229" s="26" t="e">
        <f>+VLOOKUP(tblKeluar[[#This Row],[Kode Barang]],tblKatalog[],2)</f>
        <v>#N/A</v>
      </c>
      <c r="D229" s="26" t="e">
        <f>+VLOOKUP(tblKeluar[[#This Row],[Kode Barang]],tblKatalog[],3)</f>
        <v>#N/A</v>
      </c>
      <c r="E229" s="1"/>
      <c r="F229" s="23"/>
      <c r="G229" s="23"/>
    </row>
    <row r="230" spans="1:7" x14ac:dyDescent="0.25">
      <c r="A230" s="21"/>
      <c r="B230" s="42"/>
      <c r="C230" s="26" t="e">
        <f>+VLOOKUP(tblKeluar[[#This Row],[Kode Barang]],tblKatalog[],2)</f>
        <v>#N/A</v>
      </c>
      <c r="D230" s="26" t="e">
        <f>+VLOOKUP(tblKeluar[[#This Row],[Kode Barang]],tblKatalog[],3)</f>
        <v>#N/A</v>
      </c>
      <c r="E230" s="1"/>
      <c r="F230" s="23"/>
      <c r="G230" s="23"/>
    </row>
    <row r="231" spans="1:7" x14ac:dyDescent="0.25">
      <c r="A231" s="21"/>
      <c r="B231" s="42"/>
      <c r="C231" s="26" t="e">
        <f>+VLOOKUP(tblKeluar[[#This Row],[Kode Barang]],tblKatalog[],2)</f>
        <v>#N/A</v>
      </c>
      <c r="D231" s="26" t="e">
        <f>+VLOOKUP(tblKeluar[[#This Row],[Kode Barang]],tblKatalog[],3)</f>
        <v>#N/A</v>
      </c>
      <c r="E231" s="1"/>
      <c r="F231" s="23"/>
      <c r="G231" s="23"/>
    </row>
    <row r="232" spans="1:7" x14ac:dyDescent="0.25">
      <c r="A232" s="21"/>
      <c r="B232" s="42"/>
      <c r="C232" s="26" t="e">
        <f>+VLOOKUP(tblKeluar[[#This Row],[Kode Barang]],tblKatalog[],2)</f>
        <v>#N/A</v>
      </c>
      <c r="D232" s="26" t="e">
        <f>+VLOOKUP(tblKeluar[[#This Row],[Kode Barang]],tblKatalog[],3)</f>
        <v>#N/A</v>
      </c>
      <c r="E232" s="1"/>
      <c r="F232" s="23"/>
      <c r="G232" s="23"/>
    </row>
    <row r="233" spans="1:7" x14ac:dyDescent="0.25">
      <c r="A233" s="21"/>
      <c r="B233" s="42"/>
      <c r="C233" s="26" t="e">
        <f>+VLOOKUP(tblKeluar[[#This Row],[Kode Barang]],tblKatalog[],2)</f>
        <v>#N/A</v>
      </c>
      <c r="D233" s="26" t="e">
        <f>+VLOOKUP(tblKeluar[[#This Row],[Kode Barang]],tblKatalog[],3)</f>
        <v>#N/A</v>
      </c>
      <c r="E233" s="1"/>
      <c r="F233" s="23"/>
      <c r="G233" s="23"/>
    </row>
    <row r="234" spans="1:7" x14ac:dyDescent="0.25">
      <c r="A234" s="21"/>
      <c r="B234" s="42"/>
      <c r="C234" s="26" t="e">
        <f>+VLOOKUP(tblKeluar[[#This Row],[Kode Barang]],tblKatalog[],2)</f>
        <v>#N/A</v>
      </c>
      <c r="D234" s="26" t="e">
        <f>+VLOOKUP(tblKeluar[[#This Row],[Kode Barang]],tblKatalog[],3)</f>
        <v>#N/A</v>
      </c>
      <c r="E234" s="1"/>
      <c r="F234" s="23"/>
      <c r="G234" s="23"/>
    </row>
    <row r="235" spans="1:7" x14ac:dyDescent="0.25">
      <c r="A235" s="21"/>
      <c r="B235" s="42"/>
      <c r="C235" s="26" t="e">
        <f>+VLOOKUP(tblKeluar[[#This Row],[Kode Barang]],tblKatalog[],2)</f>
        <v>#N/A</v>
      </c>
      <c r="D235" s="26" t="e">
        <f>+VLOOKUP(tblKeluar[[#This Row],[Kode Barang]],tblKatalog[],3)</f>
        <v>#N/A</v>
      </c>
      <c r="E235" s="1"/>
      <c r="F235" s="23"/>
      <c r="G235" s="23"/>
    </row>
    <row r="236" spans="1:7" x14ac:dyDescent="0.25">
      <c r="A236" s="21"/>
      <c r="B236" s="42"/>
      <c r="C236" s="26" t="e">
        <f>+VLOOKUP(tblKeluar[[#This Row],[Kode Barang]],tblKatalog[],2)</f>
        <v>#N/A</v>
      </c>
      <c r="D236" s="26" t="e">
        <f>+VLOOKUP(tblKeluar[[#This Row],[Kode Barang]],tblKatalog[],3)</f>
        <v>#N/A</v>
      </c>
      <c r="E236" s="1"/>
      <c r="F236" s="23"/>
      <c r="G236" s="23"/>
    </row>
    <row r="237" spans="1:7" x14ac:dyDescent="0.25">
      <c r="A237" s="21"/>
      <c r="B237" s="42"/>
      <c r="C237" s="26" t="e">
        <f>+VLOOKUP(tblKeluar[[#This Row],[Kode Barang]],tblKatalog[],2)</f>
        <v>#N/A</v>
      </c>
      <c r="D237" s="26" t="e">
        <f>+VLOOKUP(tblKeluar[[#This Row],[Kode Barang]],tblKatalog[],3)</f>
        <v>#N/A</v>
      </c>
      <c r="E237" s="1"/>
      <c r="F237" s="23"/>
      <c r="G237" s="23"/>
    </row>
    <row r="238" spans="1:7" x14ac:dyDescent="0.25">
      <c r="A238" s="21"/>
      <c r="B238" s="42"/>
      <c r="C238" s="26" t="e">
        <f>+VLOOKUP(tblKeluar[[#This Row],[Kode Barang]],tblKatalog[],2)</f>
        <v>#N/A</v>
      </c>
      <c r="D238" s="26" t="e">
        <f>+VLOOKUP(tblKeluar[[#This Row],[Kode Barang]],tblKatalog[],3)</f>
        <v>#N/A</v>
      </c>
      <c r="E238" s="1"/>
      <c r="F238" s="23"/>
      <c r="G238" s="23"/>
    </row>
    <row r="239" spans="1:7" x14ac:dyDescent="0.25">
      <c r="A239" s="21"/>
      <c r="B239" s="42"/>
      <c r="C239" s="26" t="e">
        <f>+VLOOKUP(tblKeluar[[#This Row],[Kode Barang]],tblKatalog[],2)</f>
        <v>#N/A</v>
      </c>
      <c r="D239" s="26" t="e">
        <f>+VLOOKUP(tblKeluar[[#This Row],[Kode Barang]],tblKatalog[],3)</f>
        <v>#N/A</v>
      </c>
      <c r="E239" s="1"/>
      <c r="F239" s="23"/>
      <c r="G239" s="23"/>
    </row>
    <row r="240" spans="1:7" x14ac:dyDescent="0.25">
      <c r="A240" s="21"/>
      <c r="B240" s="42"/>
      <c r="C240" s="26" t="e">
        <f>+VLOOKUP(tblKeluar[[#This Row],[Kode Barang]],tblKatalog[],2)</f>
        <v>#N/A</v>
      </c>
      <c r="D240" s="26" t="e">
        <f>+VLOOKUP(tblKeluar[[#This Row],[Kode Barang]],tblKatalog[],3)</f>
        <v>#N/A</v>
      </c>
      <c r="E240" s="1"/>
      <c r="F240" s="23"/>
      <c r="G240" s="23"/>
    </row>
    <row r="241" spans="1:7" x14ac:dyDescent="0.25">
      <c r="A241" s="21"/>
      <c r="B241" s="42"/>
      <c r="C241" s="26" t="e">
        <f>+VLOOKUP(tblKeluar[[#This Row],[Kode Barang]],tblKatalog[],2)</f>
        <v>#N/A</v>
      </c>
      <c r="D241" s="26" t="e">
        <f>+VLOOKUP(tblKeluar[[#This Row],[Kode Barang]],tblKatalog[],3)</f>
        <v>#N/A</v>
      </c>
      <c r="E241" s="1"/>
      <c r="F241" s="23"/>
      <c r="G241" s="23"/>
    </row>
    <row r="242" spans="1:7" x14ac:dyDescent="0.25">
      <c r="A242" s="21"/>
      <c r="B242" s="42"/>
      <c r="C242" s="26" t="e">
        <f>+VLOOKUP(tblKeluar[[#This Row],[Kode Barang]],tblKatalog[],2)</f>
        <v>#N/A</v>
      </c>
      <c r="D242" s="26" t="e">
        <f>+VLOOKUP(tblKeluar[[#This Row],[Kode Barang]],tblKatalog[],3)</f>
        <v>#N/A</v>
      </c>
      <c r="E242" s="1"/>
      <c r="F242" s="23"/>
      <c r="G242" s="23"/>
    </row>
    <row r="243" spans="1:7" x14ac:dyDescent="0.25">
      <c r="A243" s="21"/>
      <c r="B243" s="42"/>
      <c r="C243" s="26" t="e">
        <f>+VLOOKUP(tblKeluar[[#This Row],[Kode Barang]],tblKatalog[],2)</f>
        <v>#N/A</v>
      </c>
      <c r="D243" s="26" t="e">
        <f>+VLOOKUP(tblKeluar[[#This Row],[Kode Barang]],tblKatalog[],3)</f>
        <v>#N/A</v>
      </c>
      <c r="E243" s="1"/>
      <c r="F243" s="23"/>
      <c r="G243" s="23"/>
    </row>
    <row r="244" spans="1:7" x14ac:dyDescent="0.25">
      <c r="A244" s="21"/>
      <c r="B244" s="42"/>
      <c r="C244" s="26" t="e">
        <f>+VLOOKUP(tblKeluar[[#This Row],[Kode Barang]],tblKatalog[],2)</f>
        <v>#N/A</v>
      </c>
      <c r="D244" s="26" t="e">
        <f>+VLOOKUP(tblKeluar[[#This Row],[Kode Barang]],tblKatalog[],3)</f>
        <v>#N/A</v>
      </c>
      <c r="E244" s="1"/>
      <c r="F244" s="23"/>
      <c r="G244" s="23"/>
    </row>
    <row r="245" spans="1:7" x14ac:dyDescent="0.25">
      <c r="A245" s="21"/>
      <c r="B245" s="42"/>
      <c r="C245" s="26" t="e">
        <f>+VLOOKUP(tblKeluar[[#This Row],[Kode Barang]],tblKatalog[],2)</f>
        <v>#N/A</v>
      </c>
      <c r="D245" s="26" t="e">
        <f>+VLOOKUP(tblKeluar[[#This Row],[Kode Barang]],tblKatalog[],3)</f>
        <v>#N/A</v>
      </c>
      <c r="E245" s="1"/>
      <c r="F245" s="23"/>
      <c r="G245" s="23"/>
    </row>
    <row r="246" spans="1:7" x14ac:dyDescent="0.25">
      <c r="A246" s="21"/>
      <c r="B246" s="42"/>
      <c r="C246" s="26" t="e">
        <f>+VLOOKUP(tblKeluar[[#This Row],[Kode Barang]],tblKatalog[],2)</f>
        <v>#N/A</v>
      </c>
      <c r="D246" s="26" t="e">
        <f>+VLOOKUP(tblKeluar[[#This Row],[Kode Barang]],tblKatalog[],3)</f>
        <v>#N/A</v>
      </c>
      <c r="E246" s="1"/>
      <c r="F246" s="23"/>
      <c r="G246" s="23"/>
    </row>
    <row r="247" spans="1:7" x14ac:dyDescent="0.25">
      <c r="A247" s="21"/>
      <c r="B247" s="42"/>
      <c r="C247" s="26" t="e">
        <f>+VLOOKUP(tblKeluar[[#This Row],[Kode Barang]],tblKatalog[],2)</f>
        <v>#N/A</v>
      </c>
      <c r="D247" s="26" t="e">
        <f>+VLOOKUP(tblKeluar[[#This Row],[Kode Barang]],tblKatalog[],3)</f>
        <v>#N/A</v>
      </c>
      <c r="E247" s="1"/>
      <c r="F247" s="23"/>
      <c r="G247" s="23"/>
    </row>
    <row r="248" spans="1:7" x14ac:dyDescent="0.25">
      <c r="A248" s="21"/>
      <c r="B248" s="42"/>
      <c r="C248" s="26" t="e">
        <f>+VLOOKUP(tblKeluar[[#This Row],[Kode Barang]],tblKatalog[],2)</f>
        <v>#N/A</v>
      </c>
      <c r="D248" s="26" t="e">
        <f>+VLOOKUP(tblKeluar[[#This Row],[Kode Barang]],tblKatalog[],3)</f>
        <v>#N/A</v>
      </c>
      <c r="E248" s="1"/>
      <c r="F248" s="23"/>
      <c r="G248" s="23"/>
    </row>
    <row r="249" spans="1:7" x14ac:dyDescent="0.25">
      <c r="A249" s="21"/>
      <c r="B249" s="42"/>
      <c r="C249" s="26" t="e">
        <f>+VLOOKUP(tblKeluar[[#This Row],[Kode Barang]],tblKatalog[],2)</f>
        <v>#N/A</v>
      </c>
      <c r="D249" s="26" t="e">
        <f>+VLOOKUP(tblKeluar[[#This Row],[Kode Barang]],tblKatalog[],3)</f>
        <v>#N/A</v>
      </c>
      <c r="E249" s="1"/>
      <c r="F249" s="23"/>
      <c r="G249" s="23"/>
    </row>
    <row r="250" spans="1:7" x14ac:dyDescent="0.25">
      <c r="A250" s="21"/>
      <c r="B250" s="42"/>
      <c r="C250" s="26" t="e">
        <f>+VLOOKUP(tblKeluar[[#This Row],[Kode Barang]],tblKatalog[],2)</f>
        <v>#N/A</v>
      </c>
      <c r="D250" s="26" t="e">
        <f>+VLOOKUP(tblKeluar[[#This Row],[Kode Barang]],tblKatalog[],3)</f>
        <v>#N/A</v>
      </c>
      <c r="E250" s="1"/>
      <c r="F250" s="23"/>
      <c r="G250" s="23"/>
    </row>
    <row r="251" spans="1:7" x14ac:dyDescent="0.25">
      <c r="A251" s="21"/>
      <c r="B251" s="42"/>
      <c r="C251" s="26" t="e">
        <f>+VLOOKUP(tblKeluar[[#This Row],[Kode Barang]],tblKatalog[],2)</f>
        <v>#N/A</v>
      </c>
      <c r="D251" s="26" t="e">
        <f>+VLOOKUP(tblKeluar[[#This Row],[Kode Barang]],tblKatalog[],3)</f>
        <v>#N/A</v>
      </c>
      <c r="E251" s="1"/>
      <c r="F251" s="23"/>
      <c r="G251" s="23"/>
    </row>
    <row r="252" spans="1:7" x14ac:dyDescent="0.25">
      <c r="A252" s="21"/>
      <c r="B252" s="42"/>
      <c r="C252" s="26" t="e">
        <f>+VLOOKUP(tblKeluar[[#This Row],[Kode Barang]],tblKatalog[],2)</f>
        <v>#N/A</v>
      </c>
      <c r="D252" s="26" t="e">
        <f>+VLOOKUP(tblKeluar[[#This Row],[Kode Barang]],tblKatalog[],3)</f>
        <v>#N/A</v>
      </c>
      <c r="E252" s="1"/>
      <c r="F252" s="23"/>
      <c r="G252" s="23"/>
    </row>
    <row r="253" spans="1:7" x14ac:dyDescent="0.25">
      <c r="A253" s="21"/>
      <c r="B253" s="42"/>
      <c r="C253" s="26" t="e">
        <f>+VLOOKUP(tblKeluar[[#This Row],[Kode Barang]],tblKatalog[],2)</f>
        <v>#N/A</v>
      </c>
      <c r="D253" s="26" t="e">
        <f>+VLOOKUP(tblKeluar[[#This Row],[Kode Barang]],tblKatalog[],3)</f>
        <v>#N/A</v>
      </c>
      <c r="E253" s="1"/>
      <c r="F253" s="23"/>
      <c r="G253" s="23"/>
    </row>
    <row r="254" spans="1:7" x14ac:dyDescent="0.25">
      <c r="A254" s="21"/>
      <c r="B254" s="42"/>
      <c r="C254" s="26" t="e">
        <f>+VLOOKUP(tblKeluar[[#This Row],[Kode Barang]],tblKatalog[],2)</f>
        <v>#N/A</v>
      </c>
      <c r="D254" s="26" t="e">
        <f>+VLOOKUP(tblKeluar[[#This Row],[Kode Barang]],tblKatalog[],3)</f>
        <v>#N/A</v>
      </c>
      <c r="E254" s="1"/>
      <c r="F254" s="23"/>
      <c r="G254" s="23"/>
    </row>
    <row r="255" spans="1:7" x14ac:dyDescent="0.25">
      <c r="A255" s="21"/>
      <c r="B255" s="42"/>
      <c r="C255" s="26" t="e">
        <f>+VLOOKUP(tblKeluar[[#This Row],[Kode Barang]],tblKatalog[],2)</f>
        <v>#N/A</v>
      </c>
      <c r="D255" s="26" t="e">
        <f>+VLOOKUP(tblKeluar[[#This Row],[Kode Barang]],tblKatalog[],3)</f>
        <v>#N/A</v>
      </c>
      <c r="E255" s="1"/>
      <c r="F255" s="23"/>
      <c r="G255" s="23"/>
    </row>
    <row r="256" spans="1:7" x14ac:dyDescent="0.25">
      <c r="A256" s="21"/>
      <c r="B256" s="42"/>
      <c r="C256" s="26" t="e">
        <f>+VLOOKUP(tblKeluar[[#This Row],[Kode Barang]],tblKatalog[],2)</f>
        <v>#N/A</v>
      </c>
      <c r="D256" s="26" t="e">
        <f>+VLOOKUP(tblKeluar[[#This Row],[Kode Barang]],tblKatalog[],3)</f>
        <v>#N/A</v>
      </c>
      <c r="E256" s="1"/>
      <c r="F256" s="23"/>
      <c r="G256" s="23"/>
    </row>
    <row r="257" spans="1:7" x14ac:dyDescent="0.25">
      <c r="A257" s="21"/>
      <c r="B257" s="42"/>
      <c r="C257" s="26" t="e">
        <f>+VLOOKUP(tblKeluar[[#This Row],[Kode Barang]],tblKatalog[],2)</f>
        <v>#N/A</v>
      </c>
      <c r="D257" s="26" t="e">
        <f>+VLOOKUP(tblKeluar[[#This Row],[Kode Barang]],tblKatalog[],3)</f>
        <v>#N/A</v>
      </c>
      <c r="E257" s="1"/>
      <c r="F257" s="23"/>
      <c r="G257" s="23"/>
    </row>
    <row r="258" spans="1:7" x14ac:dyDescent="0.25">
      <c r="A258" s="21"/>
      <c r="B258" s="42"/>
      <c r="C258" s="26" t="e">
        <f>+VLOOKUP(tblKeluar[[#This Row],[Kode Barang]],tblKatalog[],2)</f>
        <v>#N/A</v>
      </c>
      <c r="D258" s="26" t="e">
        <f>+VLOOKUP(tblKeluar[[#This Row],[Kode Barang]],tblKatalog[],3)</f>
        <v>#N/A</v>
      </c>
      <c r="E258" s="1"/>
      <c r="F258" s="23"/>
      <c r="G258" s="23"/>
    </row>
    <row r="259" spans="1:7" x14ac:dyDescent="0.25">
      <c r="A259" s="21"/>
      <c r="B259" s="42"/>
      <c r="C259" s="26" t="e">
        <f>+VLOOKUP(tblKeluar[[#This Row],[Kode Barang]],tblKatalog[],2)</f>
        <v>#N/A</v>
      </c>
      <c r="D259" s="26" t="e">
        <f>+VLOOKUP(tblKeluar[[#This Row],[Kode Barang]],tblKatalog[],3)</f>
        <v>#N/A</v>
      </c>
      <c r="E259" s="1"/>
      <c r="F259" s="23"/>
      <c r="G259" s="23"/>
    </row>
    <row r="260" spans="1:7" x14ac:dyDescent="0.25">
      <c r="A260" s="21"/>
      <c r="B260" s="42"/>
      <c r="C260" s="26" t="e">
        <f>+VLOOKUP(tblKeluar[[#This Row],[Kode Barang]],tblKatalog[],2)</f>
        <v>#N/A</v>
      </c>
      <c r="D260" s="26" t="e">
        <f>+VLOOKUP(tblKeluar[[#This Row],[Kode Barang]],tblKatalog[],3)</f>
        <v>#N/A</v>
      </c>
      <c r="E260" s="1"/>
      <c r="F260" s="23"/>
      <c r="G260" s="23"/>
    </row>
    <row r="261" spans="1:7" x14ac:dyDescent="0.25">
      <c r="A261" s="21"/>
      <c r="B261" s="42"/>
      <c r="C261" s="26" t="e">
        <f>+VLOOKUP(tblKeluar[[#This Row],[Kode Barang]],tblKatalog[],2)</f>
        <v>#N/A</v>
      </c>
      <c r="D261" s="26" t="e">
        <f>+VLOOKUP(tblKeluar[[#This Row],[Kode Barang]],tblKatalog[],3)</f>
        <v>#N/A</v>
      </c>
      <c r="E261" s="1"/>
      <c r="F261" s="23"/>
      <c r="G261" s="23"/>
    </row>
    <row r="262" spans="1:7" x14ac:dyDescent="0.25">
      <c r="A262" s="21"/>
      <c r="B262" s="42"/>
      <c r="C262" s="26" t="e">
        <f>+VLOOKUP(tblKeluar[[#This Row],[Kode Barang]],tblKatalog[],2)</f>
        <v>#N/A</v>
      </c>
      <c r="D262" s="26" t="e">
        <f>+VLOOKUP(tblKeluar[[#This Row],[Kode Barang]],tblKatalog[],3)</f>
        <v>#N/A</v>
      </c>
      <c r="E262" s="1"/>
      <c r="F262" s="23"/>
      <c r="G262" s="23"/>
    </row>
    <row r="263" spans="1:7" x14ac:dyDescent="0.25">
      <c r="A263" s="21"/>
      <c r="B263" s="42"/>
      <c r="C263" s="26" t="e">
        <f>+VLOOKUP(tblKeluar[[#This Row],[Kode Barang]],tblKatalog[],2)</f>
        <v>#N/A</v>
      </c>
      <c r="D263" s="26" t="e">
        <f>+VLOOKUP(tblKeluar[[#This Row],[Kode Barang]],tblKatalog[],3)</f>
        <v>#N/A</v>
      </c>
      <c r="E263" s="1"/>
      <c r="F263" s="23"/>
      <c r="G263" s="23"/>
    </row>
    <row r="264" spans="1:7" x14ac:dyDescent="0.25">
      <c r="A264" s="21"/>
      <c r="B264" s="42"/>
      <c r="C264" s="26" t="e">
        <f>+VLOOKUP(tblKeluar[[#This Row],[Kode Barang]],tblKatalog[],2)</f>
        <v>#N/A</v>
      </c>
      <c r="D264" s="26" t="e">
        <f>+VLOOKUP(tblKeluar[[#This Row],[Kode Barang]],tblKatalog[],3)</f>
        <v>#N/A</v>
      </c>
      <c r="E264" s="1"/>
      <c r="F264" s="23"/>
      <c r="G264" s="23"/>
    </row>
    <row r="265" spans="1:7" x14ac:dyDescent="0.25">
      <c r="A265" s="21"/>
      <c r="B265" s="42"/>
      <c r="C265" s="26" t="e">
        <f>+VLOOKUP(tblKeluar[[#This Row],[Kode Barang]],tblKatalog[],2)</f>
        <v>#N/A</v>
      </c>
      <c r="D265" s="26" t="e">
        <f>+VLOOKUP(tblKeluar[[#This Row],[Kode Barang]],tblKatalog[],3)</f>
        <v>#N/A</v>
      </c>
      <c r="E265" s="1"/>
      <c r="F265" s="23"/>
      <c r="G265" s="23"/>
    </row>
    <row r="266" spans="1:7" x14ac:dyDescent="0.25">
      <c r="A266" s="21"/>
      <c r="B266" s="42"/>
      <c r="C266" s="26" t="e">
        <f>+VLOOKUP(tblKeluar[[#This Row],[Kode Barang]],tblKatalog[],2)</f>
        <v>#N/A</v>
      </c>
      <c r="D266" s="26" t="e">
        <f>+VLOOKUP(tblKeluar[[#This Row],[Kode Barang]],tblKatalog[],3)</f>
        <v>#N/A</v>
      </c>
      <c r="E266" s="1"/>
      <c r="F266" s="23"/>
      <c r="G266" s="23"/>
    </row>
    <row r="267" spans="1:7" x14ac:dyDescent="0.25">
      <c r="A267" s="21"/>
      <c r="B267" s="42"/>
      <c r="C267" s="26" t="e">
        <f>+VLOOKUP(tblKeluar[[#This Row],[Kode Barang]],tblKatalog[],2)</f>
        <v>#N/A</v>
      </c>
      <c r="D267" s="26" t="e">
        <f>+VLOOKUP(tblKeluar[[#This Row],[Kode Barang]],tblKatalog[],3)</f>
        <v>#N/A</v>
      </c>
      <c r="E267" s="1"/>
      <c r="F267" s="23"/>
      <c r="G267" s="23"/>
    </row>
    <row r="268" spans="1:7" x14ac:dyDescent="0.25">
      <c r="A268" s="21"/>
      <c r="B268" s="42"/>
      <c r="C268" s="26" t="e">
        <f>+VLOOKUP(tblKeluar[[#This Row],[Kode Barang]],tblKatalog[],2)</f>
        <v>#N/A</v>
      </c>
      <c r="D268" s="26" t="e">
        <f>+VLOOKUP(tblKeluar[[#This Row],[Kode Barang]],tblKatalog[],3)</f>
        <v>#N/A</v>
      </c>
      <c r="E268" s="1"/>
      <c r="F268" s="23"/>
      <c r="G268" s="23"/>
    </row>
    <row r="269" spans="1:7" x14ac:dyDescent="0.25">
      <c r="A269" s="21"/>
      <c r="B269" s="42"/>
      <c r="C269" s="26" t="e">
        <f>+VLOOKUP(tblKeluar[[#This Row],[Kode Barang]],tblKatalog[],2)</f>
        <v>#N/A</v>
      </c>
      <c r="D269" s="26" t="e">
        <f>+VLOOKUP(tblKeluar[[#This Row],[Kode Barang]],tblKatalog[],3)</f>
        <v>#N/A</v>
      </c>
      <c r="E269" s="1"/>
      <c r="F269" s="23"/>
      <c r="G269" s="23"/>
    </row>
    <row r="270" spans="1:7" x14ac:dyDescent="0.25">
      <c r="A270" s="21"/>
      <c r="B270" s="42"/>
      <c r="C270" s="26" t="e">
        <f>+VLOOKUP(tblKeluar[[#This Row],[Kode Barang]],tblKatalog[],2)</f>
        <v>#N/A</v>
      </c>
      <c r="D270" s="26" t="e">
        <f>+VLOOKUP(tblKeluar[[#This Row],[Kode Barang]],tblKatalog[],3)</f>
        <v>#N/A</v>
      </c>
      <c r="E270" s="1"/>
      <c r="F270" s="23"/>
      <c r="G270" s="23"/>
    </row>
    <row r="271" spans="1:7" x14ac:dyDescent="0.25">
      <c r="A271" s="21"/>
      <c r="B271" s="42"/>
      <c r="C271" s="26" t="e">
        <f>+VLOOKUP(tblKeluar[[#This Row],[Kode Barang]],tblKatalog[],2)</f>
        <v>#N/A</v>
      </c>
      <c r="D271" s="26" t="e">
        <f>+VLOOKUP(tblKeluar[[#This Row],[Kode Barang]],tblKatalog[],3)</f>
        <v>#N/A</v>
      </c>
      <c r="E271" s="1"/>
      <c r="F271" s="23"/>
      <c r="G271" s="23"/>
    </row>
    <row r="272" spans="1:7" x14ac:dyDescent="0.25">
      <c r="A272" s="21"/>
      <c r="B272" s="42"/>
      <c r="C272" s="26" t="e">
        <f>+VLOOKUP(tblKeluar[[#This Row],[Kode Barang]],tblKatalog[],2)</f>
        <v>#N/A</v>
      </c>
      <c r="D272" s="26" t="e">
        <f>+VLOOKUP(tblKeluar[[#This Row],[Kode Barang]],tblKatalog[],3)</f>
        <v>#N/A</v>
      </c>
      <c r="E272" s="1"/>
      <c r="F272" s="23"/>
      <c r="G272" s="23"/>
    </row>
    <row r="273" spans="1:7" x14ac:dyDescent="0.25">
      <c r="A273" s="21"/>
      <c r="B273" s="42"/>
      <c r="C273" s="26" t="e">
        <f>+VLOOKUP(tblKeluar[[#This Row],[Kode Barang]],tblKatalog[],2)</f>
        <v>#N/A</v>
      </c>
      <c r="D273" s="26" t="e">
        <f>+VLOOKUP(tblKeluar[[#This Row],[Kode Barang]],tblKatalog[],3)</f>
        <v>#N/A</v>
      </c>
      <c r="E273" s="1"/>
      <c r="F273" s="23"/>
      <c r="G273" s="23"/>
    </row>
    <row r="274" spans="1:7" x14ac:dyDescent="0.25">
      <c r="A274" s="21"/>
      <c r="B274" s="42"/>
      <c r="C274" s="26" t="e">
        <f>+VLOOKUP(tblKeluar[[#This Row],[Kode Barang]],tblKatalog[],2)</f>
        <v>#N/A</v>
      </c>
      <c r="D274" s="26" t="e">
        <f>+VLOOKUP(tblKeluar[[#This Row],[Kode Barang]],tblKatalog[],3)</f>
        <v>#N/A</v>
      </c>
      <c r="E274" s="1"/>
      <c r="F274" s="23"/>
      <c r="G274" s="23"/>
    </row>
    <row r="275" spans="1:7" x14ac:dyDescent="0.25">
      <c r="A275" s="21"/>
      <c r="B275" s="42"/>
      <c r="C275" s="26" t="e">
        <f>+VLOOKUP(tblKeluar[[#This Row],[Kode Barang]],tblKatalog[],2)</f>
        <v>#N/A</v>
      </c>
      <c r="D275" s="26" t="e">
        <f>+VLOOKUP(tblKeluar[[#This Row],[Kode Barang]],tblKatalog[],3)</f>
        <v>#N/A</v>
      </c>
      <c r="E275" s="1"/>
      <c r="F275" s="23"/>
      <c r="G275" s="23"/>
    </row>
    <row r="276" spans="1:7" x14ac:dyDescent="0.25">
      <c r="A276" s="21"/>
      <c r="B276" s="42"/>
      <c r="C276" s="26" t="e">
        <f>+VLOOKUP(tblKeluar[[#This Row],[Kode Barang]],tblKatalog[],2)</f>
        <v>#N/A</v>
      </c>
      <c r="D276" s="26" t="e">
        <f>+VLOOKUP(tblKeluar[[#This Row],[Kode Barang]],tblKatalog[],3)</f>
        <v>#N/A</v>
      </c>
      <c r="E276" s="1"/>
      <c r="F276" s="23"/>
      <c r="G276" s="23"/>
    </row>
    <row r="277" spans="1:7" x14ac:dyDescent="0.25">
      <c r="A277" s="21"/>
      <c r="B277" s="42"/>
      <c r="C277" s="26" t="e">
        <f>+VLOOKUP(tblKeluar[[#This Row],[Kode Barang]],tblKatalog[],2)</f>
        <v>#N/A</v>
      </c>
      <c r="D277" s="26" t="e">
        <f>+VLOOKUP(tblKeluar[[#This Row],[Kode Barang]],tblKatalog[],3)</f>
        <v>#N/A</v>
      </c>
      <c r="E277" s="1"/>
      <c r="F277" s="23"/>
      <c r="G277" s="23"/>
    </row>
    <row r="278" spans="1:7" x14ac:dyDescent="0.25">
      <c r="A278" s="21"/>
      <c r="B278" s="42"/>
      <c r="C278" s="26" t="e">
        <f>+VLOOKUP(tblKeluar[[#This Row],[Kode Barang]],tblKatalog[],2)</f>
        <v>#N/A</v>
      </c>
      <c r="D278" s="26" t="e">
        <f>+VLOOKUP(tblKeluar[[#This Row],[Kode Barang]],tblKatalog[],3)</f>
        <v>#N/A</v>
      </c>
      <c r="E278" s="1"/>
      <c r="F278" s="23"/>
      <c r="G278" s="23"/>
    </row>
    <row r="279" spans="1:7" x14ac:dyDescent="0.25">
      <c r="A279" s="21"/>
      <c r="B279" s="42"/>
      <c r="C279" s="26" t="e">
        <f>+VLOOKUP(tblKeluar[[#This Row],[Kode Barang]],tblKatalog[],2)</f>
        <v>#N/A</v>
      </c>
      <c r="D279" s="26" t="e">
        <f>+VLOOKUP(tblKeluar[[#This Row],[Kode Barang]],tblKatalog[],3)</f>
        <v>#N/A</v>
      </c>
      <c r="E279" s="1"/>
      <c r="F279" s="23"/>
      <c r="G279" s="23"/>
    </row>
    <row r="280" spans="1:7" x14ac:dyDescent="0.25">
      <c r="A280" s="21"/>
      <c r="B280" s="42"/>
      <c r="C280" s="26" t="e">
        <f>+VLOOKUP(tblKeluar[[#This Row],[Kode Barang]],tblKatalog[],2)</f>
        <v>#N/A</v>
      </c>
      <c r="D280" s="26" t="e">
        <f>+VLOOKUP(tblKeluar[[#This Row],[Kode Barang]],tblKatalog[],3)</f>
        <v>#N/A</v>
      </c>
      <c r="E280" s="1"/>
      <c r="F280" s="23"/>
      <c r="G280" s="23"/>
    </row>
    <row r="281" spans="1:7" x14ac:dyDescent="0.25">
      <c r="A281" s="21"/>
      <c r="B281" s="42"/>
      <c r="C281" s="26" t="e">
        <f>+VLOOKUP(tblKeluar[[#This Row],[Kode Barang]],tblKatalog[],2)</f>
        <v>#N/A</v>
      </c>
      <c r="D281" s="26" t="e">
        <f>+VLOOKUP(tblKeluar[[#This Row],[Kode Barang]],tblKatalog[],3)</f>
        <v>#N/A</v>
      </c>
      <c r="E281" s="1"/>
      <c r="F281" s="23"/>
      <c r="G281" s="23"/>
    </row>
    <row r="282" spans="1:7" x14ac:dyDescent="0.25">
      <c r="A282" s="21"/>
      <c r="B282" s="42"/>
      <c r="C282" s="26" t="e">
        <f>+VLOOKUP(tblKeluar[[#This Row],[Kode Barang]],tblKatalog[],2)</f>
        <v>#N/A</v>
      </c>
      <c r="D282" s="26" t="e">
        <f>+VLOOKUP(tblKeluar[[#This Row],[Kode Barang]],tblKatalog[],3)</f>
        <v>#N/A</v>
      </c>
      <c r="E282" s="1"/>
      <c r="F282" s="23"/>
      <c r="G282" s="23"/>
    </row>
    <row r="283" spans="1:7" x14ac:dyDescent="0.25">
      <c r="A283" s="21"/>
      <c r="B283" s="42"/>
      <c r="C283" s="26" t="e">
        <f>+VLOOKUP(tblKeluar[[#This Row],[Kode Barang]],tblKatalog[],2)</f>
        <v>#N/A</v>
      </c>
      <c r="D283" s="26" t="e">
        <f>+VLOOKUP(tblKeluar[[#This Row],[Kode Barang]],tblKatalog[],3)</f>
        <v>#N/A</v>
      </c>
      <c r="E283" s="1"/>
      <c r="F283" s="23"/>
      <c r="G283" s="23"/>
    </row>
    <row r="284" spans="1:7" x14ac:dyDescent="0.25">
      <c r="A284" s="21"/>
      <c r="B284" s="42"/>
      <c r="C284" s="26" t="e">
        <f>+VLOOKUP(tblKeluar[[#This Row],[Kode Barang]],tblKatalog[],2)</f>
        <v>#N/A</v>
      </c>
      <c r="D284" s="26" t="e">
        <f>+VLOOKUP(tblKeluar[[#This Row],[Kode Barang]],tblKatalog[],3)</f>
        <v>#N/A</v>
      </c>
      <c r="E284" s="1"/>
      <c r="F284" s="23"/>
      <c r="G284" s="23"/>
    </row>
    <row r="285" spans="1:7" x14ac:dyDescent="0.25">
      <c r="A285" s="21"/>
      <c r="B285" s="42"/>
      <c r="C285" s="26" t="e">
        <f>+VLOOKUP(tblKeluar[[#This Row],[Kode Barang]],tblKatalog[],2)</f>
        <v>#N/A</v>
      </c>
      <c r="D285" s="26" t="e">
        <f>+VLOOKUP(tblKeluar[[#This Row],[Kode Barang]],tblKatalog[],3)</f>
        <v>#N/A</v>
      </c>
      <c r="E285" s="1"/>
      <c r="F285" s="23"/>
      <c r="G285" s="23"/>
    </row>
    <row r="286" spans="1:7" x14ac:dyDescent="0.25">
      <c r="A286" s="21"/>
      <c r="B286" s="42"/>
      <c r="C286" s="26" t="e">
        <f>+VLOOKUP(tblKeluar[[#This Row],[Kode Barang]],tblKatalog[],2)</f>
        <v>#N/A</v>
      </c>
      <c r="D286" s="26" t="e">
        <f>+VLOOKUP(tblKeluar[[#This Row],[Kode Barang]],tblKatalog[],3)</f>
        <v>#N/A</v>
      </c>
      <c r="E286" s="1"/>
      <c r="F286" s="23"/>
      <c r="G286" s="23"/>
    </row>
    <row r="287" spans="1:7" x14ac:dyDescent="0.25">
      <c r="A287" s="21"/>
      <c r="B287" s="42"/>
      <c r="C287" s="26" t="e">
        <f>+VLOOKUP(tblKeluar[[#This Row],[Kode Barang]],tblKatalog[],2)</f>
        <v>#N/A</v>
      </c>
      <c r="D287" s="26" t="e">
        <f>+VLOOKUP(tblKeluar[[#This Row],[Kode Barang]],tblKatalog[],3)</f>
        <v>#N/A</v>
      </c>
      <c r="E287" s="1"/>
      <c r="F287" s="23"/>
      <c r="G287" s="23"/>
    </row>
    <row r="288" spans="1:7" x14ac:dyDescent="0.25">
      <c r="A288" s="21"/>
      <c r="B288" s="42"/>
      <c r="C288" s="26" t="e">
        <f>+VLOOKUP(tblKeluar[[#This Row],[Kode Barang]],tblKatalog[],2)</f>
        <v>#N/A</v>
      </c>
      <c r="D288" s="26" t="e">
        <f>+VLOOKUP(tblKeluar[[#This Row],[Kode Barang]],tblKatalog[],3)</f>
        <v>#N/A</v>
      </c>
      <c r="E288" s="1"/>
      <c r="F288" s="23"/>
      <c r="G288" s="23"/>
    </row>
    <row r="289" spans="1:7" x14ac:dyDescent="0.25">
      <c r="A289" s="21"/>
      <c r="B289" s="42"/>
      <c r="C289" s="26" t="e">
        <f>+VLOOKUP(tblKeluar[[#This Row],[Kode Barang]],tblKatalog[],2)</f>
        <v>#N/A</v>
      </c>
      <c r="D289" s="26" t="e">
        <f>+VLOOKUP(tblKeluar[[#This Row],[Kode Barang]],tblKatalog[],3)</f>
        <v>#N/A</v>
      </c>
      <c r="E289" s="1"/>
      <c r="F289" s="23"/>
      <c r="G289" s="23"/>
    </row>
    <row r="290" spans="1:7" x14ac:dyDescent="0.25">
      <c r="A290" s="21"/>
      <c r="B290" s="42"/>
      <c r="C290" s="26" t="e">
        <f>+VLOOKUP(tblKeluar[[#This Row],[Kode Barang]],tblKatalog[],2)</f>
        <v>#N/A</v>
      </c>
      <c r="D290" s="26" t="e">
        <f>+VLOOKUP(tblKeluar[[#This Row],[Kode Barang]],tblKatalog[],3)</f>
        <v>#N/A</v>
      </c>
      <c r="E290" s="1"/>
      <c r="F290" s="23"/>
      <c r="G290" s="23"/>
    </row>
    <row r="291" spans="1:7" x14ac:dyDescent="0.25">
      <c r="A291" s="21"/>
      <c r="B291" s="42"/>
      <c r="C291" s="26" t="e">
        <f>+VLOOKUP(tblKeluar[[#This Row],[Kode Barang]],tblKatalog[],2)</f>
        <v>#N/A</v>
      </c>
      <c r="D291" s="26" t="e">
        <f>+VLOOKUP(tblKeluar[[#This Row],[Kode Barang]],tblKatalog[],3)</f>
        <v>#N/A</v>
      </c>
      <c r="E291" s="1"/>
      <c r="F291" s="23"/>
      <c r="G291" s="23"/>
    </row>
    <row r="292" spans="1:7" x14ac:dyDescent="0.25">
      <c r="A292" s="21"/>
      <c r="B292" s="42"/>
      <c r="C292" s="26" t="e">
        <f>+VLOOKUP(tblKeluar[[#This Row],[Kode Barang]],tblKatalog[],2)</f>
        <v>#N/A</v>
      </c>
      <c r="D292" s="26" t="e">
        <f>+VLOOKUP(tblKeluar[[#This Row],[Kode Barang]],tblKatalog[],3)</f>
        <v>#N/A</v>
      </c>
      <c r="E292" s="1"/>
      <c r="F292" s="23"/>
      <c r="G292" s="23"/>
    </row>
    <row r="293" spans="1:7" x14ac:dyDescent="0.25">
      <c r="A293" s="21"/>
      <c r="B293" s="42"/>
      <c r="C293" s="26" t="e">
        <f>+VLOOKUP(tblKeluar[[#This Row],[Kode Barang]],tblKatalog[],2)</f>
        <v>#N/A</v>
      </c>
      <c r="D293" s="26" t="e">
        <f>+VLOOKUP(tblKeluar[[#This Row],[Kode Barang]],tblKatalog[],3)</f>
        <v>#N/A</v>
      </c>
      <c r="E293" s="1"/>
      <c r="F293" s="23"/>
      <c r="G293" s="23"/>
    </row>
    <row r="294" spans="1:7" x14ac:dyDescent="0.25">
      <c r="A294" s="21"/>
      <c r="B294" s="42"/>
      <c r="C294" s="26" t="e">
        <f>+VLOOKUP(tblKeluar[[#This Row],[Kode Barang]],tblKatalog[],2)</f>
        <v>#N/A</v>
      </c>
      <c r="D294" s="26" t="e">
        <f>+VLOOKUP(tblKeluar[[#This Row],[Kode Barang]],tblKatalog[],3)</f>
        <v>#N/A</v>
      </c>
      <c r="E294" s="1"/>
      <c r="F294" s="23"/>
      <c r="G294" s="23"/>
    </row>
    <row r="295" spans="1:7" x14ac:dyDescent="0.25">
      <c r="A295" s="21"/>
      <c r="B295" s="42"/>
      <c r="C295" s="26" t="e">
        <f>+VLOOKUP(tblKeluar[[#This Row],[Kode Barang]],tblKatalog[],2)</f>
        <v>#N/A</v>
      </c>
      <c r="D295" s="26" t="e">
        <f>+VLOOKUP(tblKeluar[[#This Row],[Kode Barang]],tblKatalog[],3)</f>
        <v>#N/A</v>
      </c>
      <c r="E295" s="1"/>
      <c r="F295" s="23"/>
      <c r="G295" s="23"/>
    </row>
    <row r="296" spans="1:7" x14ac:dyDescent="0.25">
      <c r="A296" s="21"/>
      <c r="B296" s="42"/>
      <c r="C296" s="26" t="e">
        <f>+VLOOKUP(tblKeluar[[#This Row],[Kode Barang]],tblKatalog[],2)</f>
        <v>#N/A</v>
      </c>
      <c r="D296" s="26" t="e">
        <f>+VLOOKUP(tblKeluar[[#This Row],[Kode Barang]],tblKatalog[],3)</f>
        <v>#N/A</v>
      </c>
      <c r="E296" s="1"/>
      <c r="F296" s="23"/>
      <c r="G296" s="23"/>
    </row>
    <row r="297" spans="1:7" x14ac:dyDescent="0.25">
      <c r="A297" s="21"/>
      <c r="B297" s="42"/>
      <c r="C297" s="26" t="e">
        <f>+VLOOKUP(tblKeluar[[#This Row],[Kode Barang]],tblKatalog[],2)</f>
        <v>#N/A</v>
      </c>
      <c r="D297" s="26" t="e">
        <f>+VLOOKUP(tblKeluar[[#This Row],[Kode Barang]],tblKatalog[],3)</f>
        <v>#N/A</v>
      </c>
      <c r="E297" s="1"/>
      <c r="F297" s="23"/>
      <c r="G297" s="23"/>
    </row>
    <row r="298" spans="1:7" x14ac:dyDescent="0.25">
      <c r="A298" s="21"/>
      <c r="B298" s="42"/>
      <c r="C298" s="26" t="e">
        <f>+VLOOKUP(tblKeluar[[#This Row],[Kode Barang]],tblKatalog[],2)</f>
        <v>#N/A</v>
      </c>
      <c r="D298" s="26" t="e">
        <f>+VLOOKUP(tblKeluar[[#This Row],[Kode Barang]],tblKatalog[],3)</f>
        <v>#N/A</v>
      </c>
      <c r="E298" s="1"/>
      <c r="F298" s="23"/>
      <c r="G298" s="23"/>
    </row>
    <row r="299" spans="1:7" x14ac:dyDescent="0.25">
      <c r="A299" s="21"/>
      <c r="B299" s="42"/>
      <c r="C299" s="26" t="e">
        <f>+VLOOKUP(tblKeluar[[#This Row],[Kode Barang]],tblKatalog[],2)</f>
        <v>#N/A</v>
      </c>
      <c r="D299" s="26" t="e">
        <f>+VLOOKUP(tblKeluar[[#This Row],[Kode Barang]],tblKatalog[],3)</f>
        <v>#N/A</v>
      </c>
      <c r="E299" s="1"/>
      <c r="F299" s="23"/>
      <c r="G299" s="23"/>
    </row>
    <row r="300" spans="1:7" x14ac:dyDescent="0.25">
      <c r="A300" s="21"/>
      <c r="B300" s="42"/>
      <c r="C300" s="26" t="e">
        <f>+VLOOKUP(tblKeluar[[#This Row],[Kode Barang]],tblKatalog[],2)</f>
        <v>#N/A</v>
      </c>
      <c r="D300" s="26" t="e">
        <f>+VLOOKUP(tblKeluar[[#This Row],[Kode Barang]],tblKatalog[],3)</f>
        <v>#N/A</v>
      </c>
      <c r="E300" s="1"/>
      <c r="F300" s="23"/>
      <c r="G300" s="23"/>
    </row>
    <row r="301" spans="1:7" x14ac:dyDescent="0.25">
      <c r="A301" s="21"/>
      <c r="B301" s="42"/>
      <c r="C301" s="26" t="e">
        <f>+VLOOKUP(tblKeluar[[#This Row],[Kode Barang]],tblKatalog[],2)</f>
        <v>#N/A</v>
      </c>
      <c r="D301" s="26" t="e">
        <f>+VLOOKUP(tblKeluar[[#This Row],[Kode Barang]],tblKatalog[],3)</f>
        <v>#N/A</v>
      </c>
      <c r="E301" s="1"/>
      <c r="F301" s="23"/>
      <c r="G301" s="23"/>
    </row>
    <row r="302" spans="1:7" x14ac:dyDescent="0.25">
      <c r="A302" s="21"/>
      <c r="B302" s="42"/>
      <c r="C302" s="26" t="e">
        <f>+VLOOKUP(tblKeluar[[#This Row],[Kode Barang]],tblKatalog[],2)</f>
        <v>#N/A</v>
      </c>
      <c r="D302" s="26" t="e">
        <f>+VLOOKUP(tblKeluar[[#This Row],[Kode Barang]],tblKatalog[],3)</f>
        <v>#N/A</v>
      </c>
      <c r="E302" s="1"/>
      <c r="F302" s="23"/>
      <c r="G302" s="23"/>
    </row>
    <row r="303" spans="1:7" x14ac:dyDescent="0.25">
      <c r="A303" s="21"/>
      <c r="B303" s="42"/>
      <c r="C303" s="26" t="e">
        <f>+VLOOKUP(tblKeluar[[#This Row],[Kode Barang]],tblKatalog[],2)</f>
        <v>#N/A</v>
      </c>
      <c r="D303" s="26" t="e">
        <f>+VLOOKUP(tblKeluar[[#This Row],[Kode Barang]],tblKatalog[],3)</f>
        <v>#N/A</v>
      </c>
      <c r="E303" s="1"/>
      <c r="F303" s="23"/>
      <c r="G303" s="23"/>
    </row>
    <row r="304" spans="1:7" x14ac:dyDescent="0.25">
      <c r="A304" s="21"/>
      <c r="B304" s="42"/>
      <c r="C304" s="26" t="e">
        <f>+VLOOKUP(tblKeluar[[#This Row],[Kode Barang]],tblKatalog[],2)</f>
        <v>#N/A</v>
      </c>
      <c r="D304" s="26" t="e">
        <f>+VLOOKUP(tblKeluar[[#This Row],[Kode Barang]],tblKatalog[],3)</f>
        <v>#N/A</v>
      </c>
      <c r="E304" s="1"/>
      <c r="F304" s="23"/>
      <c r="G304" s="23"/>
    </row>
    <row r="305" spans="1:7" x14ac:dyDescent="0.25">
      <c r="A305" s="21"/>
      <c r="B305" s="42"/>
      <c r="C305" s="26" t="e">
        <f>+VLOOKUP(tblKeluar[[#This Row],[Kode Barang]],tblKatalog[],2)</f>
        <v>#N/A</v>
      </c>
      <c r="D305" s="26" t="e">
        <f>+VLOOKUP(tblKeluar[[#This Row],[Kode Barang]],tblKatalog[],3)</f>
        <v>#N/A</v>
      </c>
      <c r="E305" s="1"/>
      <c r="F305" s="23"/>
      <c r="G305" s="23"/>
    </row>
    <row r="306" spans="1:7" x14ac:dyDescent="0.25">
      <c r="A306" s="21"/>
      <c r="B306" s="42"/>
      <c r="C306" s="26" t="e">
        <f>+VLOOKUP(tblKeluar[[#This Row],[Kode Barang]],tblKatalog[],2)</f>
        <v>#N/A</v>
      </c>
      <c r="D306" s="26" t="e">
        <f>+VLOOKUP(tblKeluar[[#This Row],[Kode Barang]],tblKatalog[],3)</f>
        <v>#N/A</v>
      </c>
      <c r="E306" s="1"/>
      <c r="F306" s="23"/>
      <c r="G306" s="23"/>
    </row>
    <row r="307" spans="1:7" x14ac:dyDescent="0.25">
      <c r="A307" s="21"/>
      <c r="B307" s="42"/>
      <c r="C307" s="26" t="e">
        <f>+VLOOKUP(tblKeluar[[#This Row],[Kode Barang]],tblKatalog[],2)</f>
        <v>#N/A</v>
      </c>
      <c r="D307" s="26" t="e">
        <f>+VLOOKUP(tblKeluar[[#This Row],[Kode Barang]],tblKatalog[],3)</f>
        <v>#N/A</v>
      </c>
      <c r="E307" s="1"/>
      <c r="F307" s="23"/>
      <c r="G307" s="23"/>
    </row>
    <row r="308" spans="1:7" x14ac:dyDescent="0.25">
      <c r="A308" s="21"/>
      <c r="B308" s="42"/>
      <c r="C308" s="26" t="e">
        <f>+VLOOKUP(tblKeluar[[#This Row],[Kode Barang]],tblKatalog[],2)</f>
        <v>#N/A</v>
      </c>
      <c r="D308" s="26" t="e">
        <f>+VLOOKUP(tblKeluar[[#This Row],[Kode Barang]],tblKatalog[],3)</f>
        <v>#N/A</v>
      </c>
      <c r="E308" s="1"/>
      <c r="F308" s="23"/>
      <c r="G308" s="23"/>
    </row>
    <row r="309" spans="1:7" x14ac:dyDescent="0.25">
      <c r="A309" s="21"/>
      <c r="B309" s="42"/>
      <c r="C309" s="26" t="e">
        <f>+VLOOKUP(tblKeluar[[#This Row],[Kode Barang]],tblKatalog[],2)</f>
        <v>#N/A</v>
      </c>
      <c r="D309" s="26" t="e">
        <f>+VLOOKUP(tblKeluar[[#This Row],[Kode Barang]],tblKatalog[],3)</f>
        <v>#N/A</v>
      </c>
      <c r="E309" s="1"/>
      <c r="F309" s="23"/>
      <c r="G309" s="23"/>
    </row>
    <row r="310" spans="1:7" x14ac:dyDescent="0.25">
      <c r="A310" s="21"/>
      <c r="B310" s="42"/>
      <c r="C310" s="26" t="e">
        <f>+VLOOKUP(tblKeluar[[#This Row],[Kode Barang]],tblKatalog[],2)</f>
        <v>#N/A</v>
      </c>
      <c r="D310" s="26" t="e">
        <f>+VLOOKUP(tblKeluar[[#This Row],[Kode Barang]],tblKatalog[],3)</f>
        <v>#N/A</v>
      </c>
      <c r="E310" s="1"/>
      <c r="F310" s="23"/>
      <c r="G310" s="23"/>
    </row>
    <row r="311" spans="1:7" x14ac:dyDescent="0.25">
      <c r="A311" s="21"/>
      <c r="B311" s="42"/>
      <c r="C311" s="26" t="e">
        <f>+VLOOKUP(tblKeluar[[#This Row],[Kode Barang]],tblKatalog[],2)</f>
        <v>#N/A</v>
      </c>
      <c r="D311" s="26" t="e">
        <f>+VLOOKUP(tblKeluar[[#This Row],[Kode Barang]],tblKatalog[],3)</f>
        <v>#N/A</v>
      </c>
      <c r="E311" s="1"/>
      <c r="F311" s="23"/>
      <c r="G311" s="23"/>
    </row>
    <row r="312" spans="1:7" x14ac:dyDescent="0.25">
      <c r="A312" s="21"/>
      <c r="B312" s="42"/>
      <c r="C312" s="26" t="e">
        <f>+VLOOKUP(tblKeluar[[#This Row],[Kode Barang]],tblKatalog[],2)</f>
        <v>#N/A</v>
      </c>
      <c r="D312" s="26" t="e">
        <f>+VLOOKUP(tblKeluar[[#This Row],[Kode Barang]],tblKatalog[],3)</f>
        <v>#N/A</v>
      </c>
      <c r="E312" s="1"/>
      <c r="F312" s="23"/>
      <c r="G312" s="23"/>
    </row>
    <row r="313" spans="1:7" x14ac:dyDescent="0.25">
      <c r="A313" s="21"/>
      <c r="B313" s="42"/>
      <c r="C313" s="26" t="e">
        <f>+VLOOKUP(tblKeluar[[#This Row],[Kode Barang]],tblKatalog[],2)</f>
        <v>#N/A</v>
      </c>
      <c r="D313" s="26" t="e">
        <f>+VLOOKUP(tblKeluar[[#This Row],[Kode Barang]],tblKatalog[],3)</f>
        <v>#N/A</v>
      </c>
      <c r="E313" s="1"/>
      <c r="F313" s="23"/>
      <c r="G313" s="23"/>
    </row>
    <row r="314" spans="1:7" x14ac:dyDescent="0.25">
      <c r="A314" s="21"/>
      <c r="B314" s="42"/>
      <c r="C314" s="26" t="e">
        <f>+VLOOKUP(tblKeluar[[#This Row],[Kode Barang]],tblKatalog[],2)</f>
        <v>#N/A</v>
      </c>
      <c r="D314" s="26" t="e">
        <f>+VLOOKUP(tblKeluar[[#This Row],[Kode Barang]],tblKatalog[],3)</f>
        <v>#N/A</v>
      </c>
      <c r="E314" s="1"/>
      <c r="F314" s="23"/>
      <c r="G314" s="23"/>
    </row>
    <row r="315" spans="1:7" x14ac:dyDescent="0.25">
      <c r="A315" s="21"/>
      <c r="B315" s="42"/>
      <c r="C315" s="26" t="e">
        <f>+VLOOKUP(tblKeluar[[#This Row],[Kode Barang]],tblKatalog[],2)</f>
        <v>#N/A</v>
      </c>
      <c r="D315" s="26" t="e">
        <f>+VLOOKUP(tblKeluar[[#This Row],[Kode Barang]],tblKatalog[],3)</f>
        <v>#N/A</v>
      </c>
      <c r="E315" s="1"/>
      <c r="F315" s="23"/>
      <c r="G315" s="23"/>
    </row>
    <row r="316" spans="1:7" x14ac:dyDescent="0.25">
      <c r="A316" s="21"/>
      <c r="B316" s="42"/>
      <c r="C316" s="26" t="e">
        <f>+VLOOKUP(tblKeluar[[#This Row],[Kode Barang]],tblKatalog[],2)</f>
        <v>#N/A</v>
      </c>
      <c r="D316" s="26" t="e">
        <f>+VLOOKUP(tblKeluar[[#This Row],[Kode Barang]],tblKatalog[],3)</f>
        <v>#N/A</v>
      </c>
      <c r="E316" s="1"/>
      <c r="F316" s="23"/>
      <c r="G316" s="23"/>
    </row>
    <row r="317" spans="1:7" x14ac:dyDescent="0.25">
      <c r="A317" s="21"/>
      <c r="B317" s="42"/>
      <c r="C317" s="26" t="e">
        <f>+VLOOKUP(tblKeluar[[#This Row],[Kode Barang]],tblKatalog[],2)</f>
        <v>#N/A</v>
      </c>
      <c r="D317" s="26" t="e">
        <f>+VLOOKUP(tblKeluar[[#This Row],[Kode Barang]],tblKatalog[],3)</f>
        <v>#N/A</v>
      </c>
      <c r="E317" s="1"/>
      <c r="F317" s="23"/>
      <c r="G317" s="23"/>
    </row>
    <row r="318" spans="1:7" x14ac:dyDescent="0.25">
      <c r="A318" s="21"/>
      <c r="B318" s="42"/>
      <c r="C318" s="26" t="e">
        <f>+VLOOKUP(tblKeluar[[#This Row],[Kode Barang]],tblKatalog[],2)</f>
        <v>#N/A</v>
      </c>
      <c r="D318" s="26" t="e">
        <f>+VLOOKUP(tblKeluar[[#This Row],[Kode Barang]],tblKatalog[],3)</f>
        <v>#N/A</v>
      </c>
      <c r="E318" s="1"/>
      <c r="F318" s="23"/>
      <c r="G318" s="23"/>
    </row>
    <row r="319" spans="1:7" x14ac:dyDescent="0.25">
      <c r="A319" s="21"/>
      <c r="B319" s="42"/>
      <c r="C319" s="26" t="e">
        <f>+VLOOKUP(tblKeluar[[#This Row],[Kode Barang]],tblKatalog[],2)</f>
        <v>#N/A</v>
      </c>
      <c r="D319" s="26" t="e">
        <f>+VLOOKUP(tblKeluar[[#This Row],[Kode Barang]],tblKatalog[],3)</f>
        <v>#N/A</v>
      </c>
      <c r="E319" s="1"/>
      <c r="F319" s="23"/>
      <c r="G319" s="23"/>
    </row>
    <row r="320" spans="1:7" x14ac:dyDescent="0.25">
      <c r="A320" s="21"/>
      <c r="B320" s="42"/>
      <c r="C320" s="26" t="e">
        <f>+VLOOKUP(tblKeluar[[#This Row],[Kode Barang]],tblKatalog[],2)</f>
        <v>#N/A</v>
      </c>
      <c r="D320" s="26" t="e">
        <f>+VLOOKUP(tblKeluar[[#This Row],[Kode Barang]],tblKatalog[],3)</f>
        <v>#N/A</v>
      </c>
      <c r="E320" s="1"/>
      <c r="F320" s="23"/>
      <c r="G320" s="23"/>
    </row>
    <row r="321" spans="1:7" x14ac:dyDescent="0.25">
      <c r="A321" s="21"/>
      <c r="B321" s="42"/>
      <c r="C321" s="26" t="e">
        <f>+VLOOKUP(tblKeluar[[#This Row],[Kode Barang]],tblKatalog[],2)</f>
        <v>#N/A</v>
      </c>
      <c r="D321" s="26" t="e">
        <f>+VLOOKUP(tblKeluar[[#This Row],[Kode Barang]],tblKatalog[],3)</f>
        <v>#N/A</v>
      </c>
      <c r="E321" s="1"/>
      <c r="F321" s="23"/>
      <c r="G321" s="23"/>
    </row>
    <row r="322" spans="1:7" x14ac:dyDescent="0.25">
      <c r="A322" s="21"/>
      <c r="B322" s="42"/>
      <c r="C322" s="26" t="e">
        <f>+VLOOKUP(tblKeluar[[#This Row],[Kode Barang]],tblKatalog[],2)</f>
        <v>#N/A</v>
      </c>
      <c r="D322" s="26" t="e">
        <f>+VLOOKUP(tblKeluar[[#This Row],[Kode Barang]],tblKatalog[],3)</f>
        <v>#N/A</v>
      </c>
      <c r="E322" s="1"/>
      <c r="F322" s="23"/>
      <c r="G322" s="23"/>
    </row>
    <row r="323" spans="1:7" x14ac:dyDescent="0.25">
      <c r="A323" s="21"/>
      <c r="B323" s="42"/>
      <c r="C323" s="26" t="e">
        <f>+VLOOKUP(tblKeluar[[#This Row],[Kode Barang]],tblKatalog[],2)</f>
        <v>#N/A</v>
      </c>
      <c r="D323" s="26" t="e">
        <f>+VLOOKUP(tblKeluar[[#This Row],[Kode Barang]],tblKatalog[],3)</f>
        <v>#N/A</v>
      </c>
      <c r="E323" s="1"/>
      <c r="F323" s="23"/>
      <c r="G323" s="23"/>
    </row>
    <row r="324" spans="1:7" x14ac:dyDescent="0.25">
      <c r="A324" s="21"/>
      <c r="B324" s="42"/>
      <c r="C324" s="26" t="e">
        <f>+VLOOKUP(tblKeluar[[#This Row],[Kode Barang]],tblKatalog[],2)</f>
        <v>#N/A</v>
      </c>
      <c r="D324" s="26" t="e">
        <f>+VLOOKUP(tblKeluar[[#This Row],[Kode Barang]],tblKatalog[],3)</f>
        <v>#N/A</v>
      </c>
      <c r="E324" s="1"/>
      <c r="F324" s="23"/>
      <c r="G324" s="23"/>
    </row>
    <row r="325" spans="1:7" x14ac:dyDescent="0.25">
      <c r="A325" s="21"/>
      <c r="B325" s="42"/>
      <c r="C325" s="26" t="e">
        <f>+VLOOKUP(tblKeluar[[#This Row],[Kode Barang]],tblKatalog[],2)</f>
        <v>#N/A</v>
      </c>
      <c r="D325" s="26" t="e">
        <f>+VLOOKUP(tblKeluar[[#This Row],[Kode Barang]],tblKatalog[],3)</f>
        <v>#N/A</v>
      </c>
      <c r="E325" s="1"/>
      <c r="F325" s="23"/>
      <c r="G325" s="23"/>
    </row>
    <row r="326" spans="1:7" x14ac:dyDescent="0.25">
      <c r="A326" s="21"/>
      <c r="B326" s="42"/>
      <c r="C326" s="26" t="e">
        <f>+VLOOKUP(tblKeluar[[#This Row],[Kode Barang]],tblKatalog[],2)</f>
        <v>#N/A</v>
      </c>
      <c r="D326" s="26" t="e">
        <f>+VLOOKUP(tblKeluar[[#This Row],[Kode Barang]],tblKatalog[],3)</f>
        <v>#N/A</v>
      </c>
      <c r="E326" s="1"/>
      <c r="F326" s="23"/>
      <c r="G326" s="23"/>
    </row>
    <row r="327" spans="1:7" x14ac:dyDescent="0.25">
      <c r="A327" s="21"/>
      <c r="B327" s="42"/>
      <c r="C327" s="26" t="e">
        <f>+VLOOKUP(tblKeluar[[#This Row],[Kode Barang]],tblKatalog[],2)</f>
        <v>#N/A</v>
      </c>
      <c r="D327" s="26" t="e">
        <f>+VLOOKUP(tblKeluar[[#This Row],[Kode Barang]],tblKatalog[],3)</f>
        <v>#N/A</v>
      </c>
      <c r="E327" s="1"/>
      <c r="F327" s="23"/>
      <c r="G327" s="23"/>
    </row>
    <row r="328" spans="1:7" x14ac:dyDescent="0.25">
      <c r="A328" s="21"/>
      <c r="B328" s="42"/>
      <c r="C328" s="26" t="e">
        <f>+VLOOKUP(tblKeluar[[#This Row],[Kode Barang]],tblKatalog[],2)</f>
        <v>#N/A</v>
      </c>
      <c r="D328" s="26" t="e">
        <f>+VLOOKUP(tblKeluar[[#This Row],[Kode Barang]],tblKatalog[],3)</f>
        <v>#N/A</v>
      </c>
      <c r="E328" s="1"/>
      <c r="F328" s="23"/>
      <c r="G328" s="23"/>
    </row>
    <row r="329" spans="1:7" x14ac:dyDescent="0.25">
      <c r="A329" s="21"/>
      <c r="B329" s="42"/>
      <c r="C329" s="26" t="e">
        <f>+VLOOKUP(tblKeluar[[#This Row],[Kode Barang]],tblKatalog[],2)</f>
        <v>#N/A</v>
      </c>
      <c r="D329" s="26" t="e">
        <f>+VLOOKUP(tblKeluar[[#This Row],[Kode Barang]],tblKatalog[],3)</f>
        <v>#N/A</v>
      </c>
      <c r="E329" s="1"/>
      <c r="F329" s="23"/>
      <c r="G329" s="23"/>
    </row>
    <row r="330" spans="1:7" x14ac:dyDescent="0.25">
      <c r="A330" s="21"/>
      <c r="B330" s="42"/>
      <c r="C330" s="26" t="e">
        <f>+VLOOKUP(tblKeluar[[#This Row],[Kode Barang]],tblKatalog[],2)</f>
        <v>#N/A</v>
      </c>
      <c r="D330" s="26" t="e">
        <f>+VLOOKUP(tblKeluar[[#This Row],[Kode Barang]],tblKatalog[],3)</f>
        <v>#N/A</v>
      </c>
      <c r="E330" s="1"/>
      <c r="F330" s="23"/>
      <c r="G330" s="23"/>
    </row>
    <row r="331" spans="1:7" x14ac:dyDescent="0.25">
      <c r="A331" s="21"/>
      <c r="B331" s="42"/>
      <c r="C331" s="26" t="e">
        <f>+VLOOKUP(tblKeluar[[#This Row],[Kode Barang]],tblKatalog[],2)</f>
        <v>#N/A</v>
      </c>
      <c r="D331" s="26" t="e">
        <f>+VLOOKUP(tblKeluar[[#This Row],[Kode Barang]],tblKatalog[],3)</f>
        <v>#N/A</v>
      </c>
      <c r="E331" s="1"/>
      <c r="F331" s="23"/>
      <c r="G331" s="23"/>
    </row>
    <row r="332" spans="1:7" x14ac:dyDescent="0.25">
      <c r="A332" s="21"/>
      <c r="B332" s="42"/>
      <c r="C332" s="26" t="e">
        <f>+VLOOKUP(tblKeluar[[#This Row],[Kode Barang]],tblKatalog[],2)</f>
        <v>#N/A</v>
      </c>
      <c r="D332" s="26" t="e">
        <f>+VLOOKUP(tblKeluar[[#This Row],[Kode Barang]],tblKatalog[],3)</f>
        <v>#N/A</v>
      </c>
      <c r="E332" s="1"/>
      <c r="F332" s="23"/>
      <c r="G332" s="23"/>
    </row>
    <row r="333" spans="1:7" x14ac:dyDescent="0.25">
      <c r="A333" s="21"/>
      <c r="B333" s="42"/>
      <c r="C333" s="26" t="e">
        <f>+VLOOKUP(tblKeluar[[#This Row],[Kode Barang]],tblKatalog[],2)</f>
        <v>#N/A</v>
      </c>
      <c r="D333" s="26" t="e">
        <f>+VLOOKUP(tblKeluar[[#This Row],[Kode Barang]],tblKatalog[],3)</f>
        <v>#N/A</v>
      </c>
      <c r="E333" s="1"/>
      <c r="F333" s="23"/>
      <c r="G333" s="23"/>
    </row>
    <row r="334" spans="1:7" x14ac:dyDescent="0.25">
      <c r="A334" s="21"/>
      <c r="B334" s="42"/>
      <c r="C334" s="26" t="e">
        <f>+VLOOKUP(tblKeluar[[#This Row],[Kode Barang]],tblKatalog[],2)</f>
        <v>#N/A</v>
      </c>
      <c r="D334" s="26" t="e">
        <f>+VLOOKUP(tblKeluar[[#This Row],[Kode Barang]],tblKatalog[],3)</f>
        <v>#N/A</v>
      </c>
      <c r="E334" s="1"/>
      <c r="F334" s="23"/>
      <c r="G334" s="23"/>
    </row>
    <row r="335" spans="1:7" x14ac:dyDescent="0.25">
      <c r="A335" s="21"/>
      <c r="B335" s="42"/>
      <c r="C335" s="26" t="e">
        <f>+VLOOKUP(tblKeluar[[#This Row],[Kode Barang]],tblKatalog[],2)</f>
        <v>#N/A</v>
      </c>
      <c r="D335" s="26" t="e">
        <f>+VLOOKUP(tblKeluar[[#This Row],[Kode Barang]],tblKatalog[],3)</f>
        <v>#N/A</v>
      </c>
      <c r="E335" s="1"/>
      <c r="F335" s="23"/>
      <c r="G335" s="23"/>
    </row>
    <row r="336" spans="1:7" x14ac:dyDescent="0.25">
      <c r="A336" s="21"/>
      <c r="B336" s="42"/>
      <c r="C336" s="26" t="e">
        <f>+VLOOKUP(tblKeluar[[#This Row],[Kode Barang]],tblKatalog[],2)</f>
        <v>#N/A</v>
      </c>
      <c r="D336" s="26" t="e">
        <f>+VLOOKUP(tblKeluar[[#This Row],[Kode Barang]],tblKatalog[],3)</f>
        <v>#N/A</v>
      </c>
      <c r="E336" s="1"/>
      <c r="F336" s="23"/>
      <c r="G336" s="23"/>
    </row>
    <row r="337" spans="1:7" x14ac:dyDescent="0.25">
      <c r="A337" s="21"/>
      <c r="B337" s="42"/>
      <c r="C337" s="26" t="e">
        <f>+VLOOKUP(tblKeluar[[#This Row],[Kode Barang]],tblKatalog[],2)</f>
        <v>#N/A</v>
      </c>
      <c r="D337" s="26" t="e">
        <f>+VLOOKUP(tblKeluar[[#This Row],[Kode Barang]],tblKatalog[],3)</f>
        <v>#N/A</v>
      </c>
      <c r="E337" s="1"/>
      <c r="F337" s="23"/>
      <c r="G337" s="23"/>
    </row>
    <row r="338" spans="1:7" x14ac:dyDescent="0.25">
      <c r="A338" s="21"/>
      <c r="B338" s="42"/>
      <c r="C338" s="26" t="e">
        <f>+VLOOKUP(tblKeluar[[#This Row],[Kode Barang]],tblKatalog[],2)</f>
        <v>#N/A</v>
      </c>
      <c r="D338" s="26" t="e">
        <f>+VLOOKUP(tblKeluar[[#This Row],[Kode Barang]],tblKatalog[],3)</f>
        <v>#N/A</v>
      </c>
      <c r="E338" s="1"/>
      <c r="F338" s="23"/>
      <c r="G338" s="23"/>
    </row>
    <row r="339" spans="1:7" x14ac:dyDescent="0.25">
      <c r="A339" s="21"/>
      <c r="B339" s="42"/>
      <c r="C339" s="26" t="e">
        <f>+VLOOKUP(tblKeluar[[#This Row],[Kode Barang]],tblKatalog[],2)</f>
        <v>#N/A</v>
      </c>
      <c r="D339" s="26" t="e">
        <f>+VLOOKUP(tblKeluar[[#This Row],[Kode Barang]],tblKatalog[],3)</f>
        <v>#N/A</v>
      </c>
      <c r="E339" s="1"/>
      <c r="F339" s="23"/>
      <c r="G339" s="23"/>
    </row>
    <row r="340" spans="1:7" x14ac:dyDescent="0.25">
      <c r="A340" s="21"/>
      <c r="B340" s="42"/>
      <c r="C340" s="26" t="e">
        <f>+VLOOKUP(tblKeluar[[#This Row],[Kode Barang]],tblKatalog[],2)</f>
        <v>#N/A</v>
      </c>
      <c r="D340" s="26" t="e">
        <f>+VLOOKUP(tblKeluar[[#This Row],[Kode Barang]],tblKatalog[],3)</f>
        <v>#N/A</v>
      </c>
      <c r="E340" s="1"/>
      <c r="F340" s="23"/>
      <c r="G340" s="23"/>
    </row>
    <row r="341" spans="1:7" x14ac:dyDescent="0.25">
      <c r="A341" s="21"/>
      <c r="B341" s="42"/>
      <c r="C341" s="26" t="e">
        <f>+VLOOKUP(tblKeluar[[#This Row],[Kode Barang]],tblKatalog[],2)</f>
        <v>#N/A</v>
      </c>
      <c r="D341" s="26" t="e">
        <f>+VLOOKUP(tblKeluar[[#This Row],[Kode Barang]],tblKatalog[],3)</f>
        <v>#N/A</v>
      </c>
      <c r="E341" s="1"/>
      <c r="F341" s="23"/>
      <c r="G341" s="23"/>
    </row>
    <row r="342" spans="1:7" x14ac:dyDescent="0.25">
      <c r="A342" s="21"/>
      <c r="B342" s="42"/>
      <c r="C342" s="26" t="e">
        <f>+VLOOKUP(tblKeluar[[#This Row],[Kode Barang]],tblKatalog[],2)</f>
        <v>#N/A</v>
      </c>
      <c r="D342" s="26" t="e">
        <f>+VLOOKUP(tblKeluar[[#This Row],[Kode Barang]],tblKatalog[],3)</f>
        <v>#N/A</v>
      </c>
      <c r="E342" s="1"/>
      <c r="F342" s="23"/>
      <c r="G342" s="23"/>
    </row>
    <row r="343" spans="1:7" x14ac:dyDescent="0.25">
      <c r="A343" s="21"/>
      <c r="B343" s="42"/>
      <c r="C343" s="26" t="e">
        <f>+VLOOKUP(tblKeluar[[#This Row],[Kode Barang]],tblKatalog[],2)</f>
        <v>#N/A</v>
      </c>
      <c r="D343" s="26" t="e">
        <f>+VLOOKUP(tblKeluar[[#This Row],[Kode Barang]],tblKatalog[],3)</f>
        <v>#N/A</v>
      </c>
      <c r="E343" s="1"/>
      <c r="F343" s="23"/>
      <c r="G343" s="23"/>
    </row>
    <row r="344" spans="1:7" x14ac:dyDescent="0.25">
      <c r="A344" s="21"/>
      <c r="B344" s="42"/>
      <c r="C344" s="26" t="e">
        <f>+VLOOKUP(tblKeluar[[#This Row],[Kode Barang]],tblKatalog[],2)</f>
        <v>#N/A</v>
      </c>
      <c r="D344" s="26" t="e">
        <f>+VLOOKUP(tblKeluar[[#This Row],[Kode Barang]],tblKatalog[],3)</f>
        <v>#N/A</v>
      </c>
      <c r="E344" s="1"/>
      <c r="F344" s="23"/>
      <c r="G344" s="23"/>
    </row>
    <row r="345" spans="1:7" x14ac:dyDescent="0.25">
      <c r="A345" s="21"/>
      <c r="B345" s="42"/>
      <c r="C345" s="26" t="e">
        <f>+VLOOKUP(tblKeluar[[#This Row],[Kode Barang]],tblKatalog[],2)</f>
        <v>#N/A</v>
      </c>
      <c r="D345" s="26" t="e">
        <f>+VLOOKUP(tblKeluar[[#This Row],[Kode Barang]],tblKatalog[],3)</f>
        <v>#N/A</v>
      </c>
      <c r="E345" s="1"/>
      <c r="F345" s="23"/>
      <c r="G345" s="23"/>
    </row>
    <row r="346" spans="1:7" x14ac:dyDescent="0.25">
      <c r="A346" s="21"/>
      <c r="B346" s="42"/>
      <c r="C346" s="26" t="e">
        <f>+VLOOKUP(tblKeluar[[#This Row],[Kode Barang]],tblKatalog[],2)</f>
        <v>#N/A</v>
      </c>
      <c r="D346" s="26" t="e">
        <f>+VLOOKUP(tblKeluar[[#This Row],[Kode Barang]],tblKatalog[],3)</f>
        <v>#N/A</v>
      </c>
      <c r="E346" s="1"/>
      <c r="F346" s="23"/>
      <c r="G346" s="23"/>
    </row>
    <row r="347" spans="1:7" x14ac:dyDescent="0.25">
      <c r="A347" s="21"/>
      <c r="B347" s="42"/>
      <c r="C347" s="26" t="e">
        <f>+VLOOKUP(tblKeluar[[#This Row],[Kode Barang]],tblKatalog[],2)</f>
        <v>#N/A</v>
      </c>
      <c r="D347" s="26" t="e">
        <f>+VLOOKUP(tblKeluar[[#This Row],[Kode Barang]],tblKatalog[],3)</f>
        <v>#N/A</v>
      </c>
      <c r="E347" s="1"/>
      <c r="F347" s="23"/>
      <c r="G347" s="23"/>
    </row>
    <row r="348" spans="1:7" x14ac:dyDescent="0.25">
      <c r="A348" s="21"/>
      <c r="B348" s="42"/>
      <c r="C348" s="26" t="e">
        <f>+VLOOKUP(tblKeluar[[#This Row],[Kode Barang]],tblKatalog[],2)</f>
        <v>#N/A</v>
      </c>
      <c r="D348" s="26" t="e">
        <f>+VLOOKUP(tblKeluar[[#This Row],[Kode Barang]],tblKatalog[],3)</f>
        <v>#N/A</v>
      </c>
      <c r="E348" s="1"/>
      <c r="F348" s="23"/>
      <c r="G348" s="23"/>
    </row>
    <row r="349" spans="1:7" x14ac:dyDescent="0.25">
      <c r="A349" s="21"/>
      <c r="B349" s="42"/>
      <c r="C349" s="26" t="e">
        <f>+VLOOKUP(tblKeluar[[#This Row],[Kode Barang]],tblKatalog[],2)</f>
        <v>#N/A</v>
      </c>
      <c r="D349" s="26" t="e">
        <f>+VLOOKUP(tblKeluar[[#This Row],[Kode Barang]],tblKatalog[],3)</f>
        <v>#N/A</v>
      </c>
      <c r="E349" s="1"/>
      <c r="F349" s="23"/>
      <c r="G349" s="23"/>
    </row>
    <row r="350" spans="1:7" x14ac:dyDescent="0.25">
      <c r="A350" s="21"/>
      <c r="B350" s="42"/>
      <c r="C350" s="26" t="e">
        <f>+VLOOKUP(tblKeluar[[#This Row],[Kode Barang]],tblKatalog[],2)</f>
        <v>#N/A</v>
      </c>
      <c r="D350" s="26" t="e">
        <f>+VLOOKUP(tblKeluar[[#This Row],[Kode Barang]],tblKatalog[],3)</f>
        <v>#N/A</v>
      </c>
      <c r="E350" s="1"/>
      <c r="F350" s="23"/>
      <c r="G350" s="23"/>
    </row>
    <row r="351" spans="1:7" x14ac:dyDescent="0.25">
      <c r="A351" s="21"/>
      <c r="B351" s="42"/>
      <c r="C351" s="26" t="e">
        <f>+VLOOKUP(tblKeluar[[#This Row],[Kode Barang]],tblKatalog[],2)</f>
        <v>#N/A</v>
      </c>
      <c r="D351" s="26" t="e">
        <f>+VLOOKUP(tblKeluar[[#This Row],[Kode Barang]],tblKatalog[],3)</f>
        <v>#N/A</v>
      </c>
      <c r="E351" s="1"/>
      <c r="F351" s="23"/>
      <c r="G351" s="23"/>
    </row>
    <row r="352" spans="1:7" x14ac:dyDescent="0.25">
      <c r="A352" s="21"/>
      <c r="B352" s="42"/>
      <c r="C352" s="26" t="e">
        <f>+VLOOKUP(tblKeluar[[#This Row],[Kode Barang]],tblKatalog[],2)</f>
        <v>#N/A</v>
      </c>
      <c r="D352" s="26" t="e">
        <f>+VLOOKUP(tblKeluar[[#This Row],[Kode Barang]],tblKatalog[],3)</f>
        <v>#N/A</v>
      </c>
      <c r="E352" s="1"/>
      <c r="F352" s="23"/>
      <c r="G352" s="23"/>
    </row>
    <row r="353" spans="1:7" x14ac:dyDescent="0.25">
      <c r="A353" s="21"/>
      <c r="B353" s="42"/>
      <c r="C353" s="26" t="e">
        <f>+VLOOKUP(tblKeluar[[#This Row],[Kode Barang]],tblKatalog[],2)</f>
        <v>#N/A</v>
      </c>
      <c r="D353" s="26" t="e">
        <f>+VLOOKUP(tblKeluar[[#This Row],[Kode Barang]],tblKatalog[],3)</f>
        <v>#N/A</v>
      </c>
      <c r="E353" s="1"/>
      <c r="F353" s="23"/>
      <c r="G353" s="23"/>
    </row>
    <row r="354" spans="1:7" x14ac:dyDescent="0.25">
      <c r="A354" s="21"/>
      <c r="B354" s="42"/>
      <c r="C354" s="26" t="e">
        <f>+VLOOKUP(tblKeluar[[#This Row],[Kode Barang]],tblKatalog[],2)</f>
        <v>#N/A</v>
      </c>
      <c r="D354" s="26" t="e">
        <f>+VLOOKUP(tblKeluar[[#This Row],[Kode Barang]],tblKatalog[],3)</f>
        <v>#N/A</v>
      </c>
      <c r="E354" s="1"/>
      <c r="F354" s="23"/>
      <c r="G354" s="23"/>
    </row>
    <row r="355" spans="1:7" x14ac:dyDescent="0.25">
      <c r="A355" s="21"/>
      <c r="B355" s="42"/>
      <c r="C355" s="26" t="e">
        <f>+VLOOKUP(tblKeluar[[#This Row],[Kode Barang]],tblKatalog[],2)</f>
        <v>#N/A</v>
      </c>
      <c r="D355" s="26" t="e">
        <f>+VLOOKUP(tblKeluar[[#This Row],[Kode Barang]],tblKatalog[],3)</f>
        <v>#N/A</v>
      </c>
      <c r="E355" s="1"/>
      <c r="F355" s="23"/>
      <c r="G355" s="23"/>
    </row>
    <row r="356" spans="1:7" x14ac:dyDescent="0.25">
      <c r="A356" s="21"/>
      <c r="B356" s="42"/>
      <c r="C356" s="26" t="e">
        <f>+VLOOKUP(tblKeluar[[#This Row],[Kode Barang]],tblKatalog[],2)</f>
        <v>#N/A</v>
      </c>
      <c r="D356" s="26" t="e">
        <f>+VLOOKUP(tblKeluar[[#This Row],[Kode Barang]],tblKatalog[],3)</f>
        <v>#N/A</v>
      </c>
      <c r="E356" s="1"/>
      <c r="F356" s="23"/>
      <c r="G356" s="23"/>
    </row>
    <row r="357" spans="1:7" x14ac:dyDescent="0.25">
      <c r="A357" s="21"/>
      <c r="B357" s="42"/>
      <c r="C357" s="26" t="e">
        <f>+VLOOKUP(tblKeluar[[#This Row],[Kode Barang]],tblKatalog[],2)</f>
        <v>#N/A</v>
      </c>
      <c r="D357" s="26" t="e">
        <f>+VLOOKUP(tblKeluar[[#This Row],[Kode Barang]],tblKatalog[],3)</f>
        <v>#N/A</v>
      </c>
      <c r="E357" s="1"/>
      <c r="F357" s="23"/>
      <c r="G357" s="23"/>
    </row>
    <row r="358" spans="1:7" x14ac:dyDescent="0.25">
      <c r="A358" s="21"/>
      <c r="B358" s="42"/>
      <c r="C358" s="26" t="e">
        <f>+VLOOKUP(tblKeluar[[#This Row],[Kode Barang]],tblKatalog[],2)</f>
        <v>#N/A</v>
      </c>
      <c r="D358" s="26" t="e">
        <f>+VLOOKUP(tblKeluar[[#This Row],[Kode Barang]],tblKatalog[],3)</f>
        <v>#N/A</v>
      </c>
      <c r="E358" s="1"/>
      <c r="F358" s="23"/>
      <c r="G358" s="23"/>
    </row>
    <row r="359" spans="1:7" x14ac:dyDescent="0.25">
      <c r="A359" s="21"/>
      <c r="B359" s="42"/>
      <c r="C359" s="26" t="e">
        <f>+VLOOKUP(tblKeluar[[#This Row],[Kode Barang]],tblKatalog[],2)</f>
        <v>#N/A</v>
      </c>
      <c r="D359" s="26" t="e">
        <f>+VLOOKUP(tblKeluar[[#This Row],[Kode Barang]],tblKatalog[],3)</f>
        <v>#N/A</v>
      </c>
      <c r="E359" s="1"/>
      <c r="F359" s="23"/>
      <c r="G359" s="23"/>
    </row>
    <row r="360" spans="1:7" x14ac:dyDescent="0.25">
      <c r="A360" s="21"/>
      <c r="B360" s="42"/>
      <c r="C360" s="26" t="e">
        <f>+VLOOKUP(tblKeluar[[#This Row],[Kode Barang]],tblKatalog[],2)</f>
        <v>#N/A</v>
      </c>
      <c r="D360" s="26" t="e">
        <f>+VLOOKUP(tblKeluar[[#This Row],[Kode Barang]],tblKatalog[],3)</f>
        <v>#N/A</v>
      </c>
      <c r="E360" s="1"/>
      <c r="F360" s="23"/>
      <c r="G360" s="23"/>
    </row>
    <row r="361" spans="1:7" x14ac:dyDescent="0.25">
      <c r="A361" s="21"/>
      <c r="B361" s="42"/>
      <c r="C361" s="26" t="e">
        <f>+VLOOKUP(tblKeluar[[#This Row],[Kode Barang]],tblKatalog[],2)</f>
        <v>#N/A</v>
      </c>
      <c r="D361" s="26" t="e">
        <f>+VLOOKUP(tblKeluar[[#This Row],[Kode Barang]],tblKatalog[],3)</f>
        <v>#N/A</v>
      </c>
      <c r="E361" s="1"/>
      <c r="F361" s="23"/>
      <c r="G361" s="23"/>
    </row>
    <row r="362" spans="1:7" x14ac:dyDescent="0.25">
      <c r="A362" s="21"/>
      <c r="B362" s="42"/>
      <c r="C362" s="26" t="e">
        <f>+VLOOKUP(tblKeluar[[#This Row],[Kode Barang]],tblKatalog[],2)</f>
        <v>#N/A</v>
      </c>
      <c r="D362" s="26" t="e">
        <f>+VLOOKUP(tblKeluar[[#This Row],[Kode Barang]],tblKatalog[],3)</f>
        <v>#N/A</v>
      </c>
      <c r="E362" s="1"/>
      <c r="F362" s="23"/>
      <c r="G362" s="23"/>
    </row>
    <row r="363" spans="1:7" x14ac:dyDescent="0.25">
      <c r="A363" s="21"/>
      <c r="B363" s="42"/>
      <c r="C363" s="26" t="e">
        <f>+VLOOKUP(tblKeluar[[#This Row],[Kode Barang]],tblKatalog[],2)</f>
        <v>#N/A</v>
      </c>
      <c r="D363" s="26" t="e">
        <f>+VLOOKUP(tblKeluar[[#This Row],[Kode Barang]],tblKatalog[],3)</f>
        <v>#N/A</v>
      </c>
      <c r="E363" s="1"/>
      <c r="F363" s="23"/>
      <c r="G363" s="23"/>
    </row>
    <row r="364" spans="1:7" x14ac:dyDescent="0.25">
      <c r="A364" s="21"/>
      <c r="B364" s="42"/>
      <c r="C364" s="26" t="e">
        <f>+VLOOKUP(tblKeluar[[#This Row],[Kode Barang]],tblKatalog[],2)</f>
        <v>#N/A</v>
      </c>
      <c r="D364" s="26" t="e">
        <f>+VLOOKUP(tblKeluar[[#This Row],[Kode Barang]],tblKatalog[],3)</f>
        <v>#N/A</v>
      </c>
      <c r="E364" s="1"/>
      <c r="F364" s="23"/>
      <c r="G364" s="23"/>
    </row>
    <row r="365" spans="1:7" x14ac:dyDescent="0.25">
      <c r="A365" s="21"/>
      <c r="B365" s="42"/>
      <c r="C365" s="26" t="e">
        <f>+VLOOKUP(tblKeluar[[#This Row],[Kode Barang]],tblKatalog[],2)</f>
        <v>#N/A</v>
      </c>
      <c r="D365" s="26" t="e">
        <f>+VLOOKUP(tblKeluar[[#This Row],[Kode Barang]],tblKatalog[],3)</f>
        <v>#N/A</v>
      </c>
      <c r="E365" s="1"/>
      <c r="F365" s="23"/>
      <c r="G365" s="23"/>
    </row>
    <row r="366" spans="1:7" x14ac:dyDescent="0.25">
      <c r="A366" s="21"/>
      <c r="B366" s="42"/>
      <c r="C366" s="26" t="e">
        <f>+VLOOKUP(tblKeluar[[#This Row],[Kode Barang]],tblKatalog[],2)</f>
        <v>#N/A</v>
      </c>
      <c r="D366" s="26" t="e">
        <f>+VLOOKUP(tblKeluar[[#This Row],[Kode Barang]],tblKatalog[],3)</f>
        <v>#N/A</v>
      </c>
      <c r="E366" s="1"/>
      <c r="F366" s="23"/>
      <c r="G366" s="23"/>
    </row>
    <row r="367" spans="1:7" x14ac:dyDescent="0.25">
      <c r="A367" s="21"/>
      <c r="B367" s="42"/>
      <c r="C367" s="26" t="e">
        <f>+VLOOKUP(tblKeluar[[#This Row],[Kode Barang]],tblKatalog[],2)</f>
        <v>#N/A</v>
      </c>
      <c r="D367" s="26" t="e">
        <f>+VLOOKUP(tblKeluar[[#This Row],[Kode Barang]],tblKatalog[],3)</f>
        <v>#N/A</v>
      </c>
      <c r="E367" s="1"/>
      <c r="F367" s="23"/>
      <c r="G367" s="23"/>
    </row>
    <row r="368" spans="1:7" x14ac:dyDescent="0.25">
      <c r="A368" s="21"/>
      <c r="B368" s="42"/>
      <c r="C368" s="26" t="e">
        <f>+VLOOKUP(tblKeluar[[#This Row],[Kode Barang]],tblKatalog[],2)</f>
        <v>#N/A</v>
      </c>
      <c r="D368" s="26" t="e">
        <f>+VLOOKUP(tblKeluar[[#This Row],[Kode Barang]],tblKatalog[],3)</f>
        <v>#N/A</v>
      </c>
      <c r="E368" s="1"/>
      <c r="F368" s="23"/>
      <c r="G368" s="23"/>
    </row>
    <row r="369" spans="1:7" x14ac:dyDescent="0.25">
      <c r="A369" s="21"/>
      <c r="B369" s="42"/>
      <c r="C369" s="26" t="e">
        <f>+VLOOKUP(tblKeluar[[#This Row],[Kode Barang]],tblKatalog[],2)</f>
        <v>#N/A</v>
      </c>
      <c r="D369" s="26" t="e">
        <f>+VLOOKUP(tblKeluar[[#This Row],[Kode Barang]],tblKatalog[],3)</f>
        <v>#N/A</v>
      </c>
      <c r="E369" s="1"/>
      <c r="F369" s="23"/>
      <c r="G369" s="23"/>
    </row>
    <row r="370" spans="1:7" x14ac:dyDescent="0.25">
      <c r="A370" s="21"/>
      <c r="B370" s="42"/>
      <c r="C370" s="26" t="e">
        <f>+VLOOKUP(tblKeluar[[#This Row],[Kode Barang]],tblKatalog[],2)</f>
        <v>#N/A</v>
      </c>
      <c r="D370" s="26" t="e">
        <f>+VLOOKUP(tblKeluar[[#This Row],[Kode Barang]],tblKatalog[],3)</f>
        <v>#N/A</v>
      </c>
      <c r="E370" s="1"/>
      <c r="F370" s="23"/>
      <c r="G370" s="23"/>
    </row>
    <row r="371" spans="1:7" x14ac:dyDescent="0.25">
      <c r="A371" s="21"/>
      <c r="B371" s="42"/>
      <c r="C371" s="26" t="e">
        <f>+VLOOKUP(tblKeluar[[#This Row],[Kode Barang]],tblKatalog[],2)</f>
        <v>#N/A</v>
      </c>
      <c r="D371" s="26" t="e">
        <f>+VLOOKUP(tblKeluar[[#This Row],[Kode Barang]],tblKatalog[],3)</f>
        <v>#N/A</v>
      </c>
      <c r="E371" s="1"/>
      <c r="F371" s="23"/>
      <c r="G371" s="23"/>
    </row>
    <row r="372" spans="1:7" x14ac:dyDescent="0.25">
      <c r="A372" s="21"/>
      <c r="B372" s="42"/>
      <c r="C372" s="26" t="e">
        <f>+VLOOKUP(tblKeluar[[#This Row],[Kode Barang]],tblKatalog[],2)</f>
        <v>#N/A</v>
      </c>
      <c r="D372" s="26" t="e">
        <f>+VLOOKUP(tblKeluar[[#This Row],[Kode Barang]],tblKatalog[],3)</f>
        <v>#N/A</v>
      </c>
      <c r="E372" s="1"/>
      <c r="F372" s="23"/>
      <c r="G372" s="23"/>
    </row>
    <row r="373" spans="1:7" x14ac:dyDescent="0.25">
      <c r="A373" s="21"/>
      <c r="B373" s="42"/>
      <c r="C373" s="26" t="e">
        <f>+VLOOKUP(tblKeluar[[#This Row],[Kode Barang]],tblKatalog[],2)</f>
        <v>#N/A</v>
      </c>
      <c r="D373" s="26" t="e">
        <f>+VLOOKUP(tblKeluar[[#This Row],[Kode Barang]],tblKatalog[],3)</f>
        <v>#N/A</v>
      </c>
      <c r="E373" s="1"/>
      <c r="F373" s="23"/>
      <c r="G373" s="23"/>
    </row>
    <row r="374" spans="1:7" x14ac:dyDescent="0.25">
      <c r="A374" s="21"/>
      <c r="B374" s="42"/>
      <c r="C374" s="26" t="e">
        <f>+VLOOKUP(tblKeluar[[#This Row],[Kode Barang]],tblKatalog[],2)</f>
        <v>#N/A</v>
      </c>
      <c r="D374" s="26" t="e">
        <f>+VLOOKUP(tblKeluar[[#This Row],[Kode Barang]],tblKatalog[],3)</f>
        <v>#N/A</v>
      </c>
      <c r="E374" s="1"/>
      <c r="F374" s="23"/>
      <c r="G374" s="23"/>
    </row>
    <row r="375" spans="1:7" x14ac:dyDescent="0.25">
      <c r="A375" s="21"/>
      <c r="B375" s="42"/>
      <c r="C375" s="26" t="e">
        <f>+VLOOKUP(tblKeluar[[#This Row],[Kode Barang]],tblKatalog[],2)</f>
        <v>#N/A</v>
      </c>
      <c r="D375" s="26" t="e">
        <f>+VLOOKUP(tblKeluar[[#This Row],[Kode Barang]],tblKatalog[],3)</f>
        <v>#N/A</v>
      </c>
      <c r="E375" s="1"/>
      <c r="F375" s="23"/>
      <c r="G375" s="23"/>
    </row>
    <row r="376" spans="1:7" x14ac:dyDescent="0.25">
      <c r="A376" s="21"/>
      <c r="B376" s="42"/>
      <c r="C376" s="26" t="e">
        <f>+VLOOKUP(tblKeluar[[#This Row],[Kode Barang]],tblKatalog[],2)</f>
        <v>#N/A</v>
      </c>
      <c r="D376" s="26" t="e">
        <f>+VLOOKUP(tblKeluar[[#This Row],[Kode Barang]],tblKatalog[],3)</f>
        <v>#N/A</v>
      </c>
      <c r="E376" s="1"/>
      <c r="F376" s="23"/>
      <c r="G376" s="23"/>
    </row>
    <row r="377" spans="1:7" x14ac:dyDescent="0.25">
      <c r="A377" s="21"/>
      <c r="B377" s="42"/>
      <c r="C377" s="26" t="e">
        <f>+VLOOKUP(tblKeluar[[#This Row],[Kode Barang]],tblKatalog[],2)</f>
        <v>#N/A</v>
      </c>
      <c r="D377" s="26" t="e">
        <f>+VLOOKUP(tblKeluar[[#This Row],[Kode Barang]],tblKatalog[],3)</f>
        <v>#N/A</v>
      </c>
      <c r="E377" s="1"/>
      <c r="F377" s="23"/>
      <c r="G377" s="23"/>
    </row>
    <row r="378" spans="1:7" x14ac:dyDescent="0.25">
      <c r="A378" s="21"/>
      <c r="B378" s="42"/>
      <c r="C378" s="26" t="e">
        <f>+VLOOKUP(tblKeluar[[#This Row],[Kode Barang]],tblKatalog[],2)</f>
        <v>#N/A</v>
      </c>
      <c r="D378" s="26" t="e">
        <f>+VLOOKUP(tblKeluar[[#This Row],[Kode Barang]],tblKatalog[],3)</f>
        <v>#N/A</v>
      </c>
      <c r="E378" s="1"/>
      <c r="F378" s="23"/>
      <c r="G378" s="23"/>
    </row>
    <row r="379" spans="1:7" x14ac:dyDescent="0.25">
      <c r="A379" s="21"/>
      <c r="B379" s="42"/>
      <c r="C379" s="26" t="e">
        <f>+VLOOKUP(tblKeluar[[#This Row],[Kode Barang]],tblKatalog[],2)</f>
        <v>#N/A</v>
      </c>
      <c r="D379" s="26" t="e">
        <f>+VLOOKUP(tblKeluar[[#This Row],[Kode Barang]],tblKatalog[],3)</f>
        <v>#N/A</v>
      </c>
      <c r="E379" s="1"/>
      <c r="F379" s="23"/>
      <c r="G379" s="23"/>
    </row>
    <row r="380" spans="1:7" x14ac:dyDescent="0.25">
      <c r="A380" s="21"/>
      <c r="B380" s="42"/>
      <c r="C380" s="26" t="e">
        <f>+VLOOKUP(tblKeluar[[#This Row],[Kode Barang]],tblKatalog[],2)</f>
        <v>#N/A</v>
      </c>
      <c r="D380" s="26" t="e">
        <f>+VLOOKUP(tblKeluar[[#This Row],[Kode Barang]],tblKatalog[],3)</f>
        <v>#N/A</v>
      </c>
      <c r="E380" s="1"/>
      <c r="F380" s="23"/>
      <c r="G380" s="23"/>
    </row>
    <row r="381" spans="1:7" x14ac:dyDescent="0.25">
      <c r="A381" s="21"/>
      <c r="B381" s="42"/>
      <c r="C381" s="26" t="e">
        <f>+VLOOKUP(tblKeluar[[#This Row],[Kode Barang]],tblKatalog[],2)</f>
        <v>#N/A</v>
      </c>
      <c r="D381" s="26" t="e">
        <f>+VLOOKUP(tblKeluar[[#This Row],[Kode Barang]],tblKatalog[],3)</f>
        <v>#N/A</v>
      </c>
      <c r="E381" s="1"/>
      <c r="F381" s="23"/>
      <c r="G381" s="23"/>
    </row>
    <row r="382" spans="1:7" x14ac:dyDescent="0.25">
      <c r="A382" s="21"/>
      <c r="B382" s="42"/>
      <c r="C382" s="26" t="e">
        <f>+VLOOKUP(tblKeluar[[#This Row],[Kode Barang]],tblKatalog[],2)</f>
        <v>#N/A</v>
      </c>
      <c r="D382" s="26" t="e">
        <f>+VLOOKUP(tblKeluar[[#This Row],[Kode Barang]],tblKatalog[],3)</f>
        <v>#N/A</v>
      </c>
      <c r="E382" s="1"/>
      <c r="F382" s="23"/>
      <c r="G382" s="23"/>
    </row>
    <row r="383" spans="1:7" x14ac:dyDescent="0.25">
      <c r="A383" s="21"/>
      <c r="B383" s="42"/>
      <c r="C383" s="26" t="e">
        <f>+VLOOKUP(tblKeluar[[#This Row],[Kode Barang]],tblKatalog[],2)</f>
        <v>#N/A</v>
      </c>
      <c r="D383" s="26" t="e">
        <f>+VLOOKUP(tblKeluar[[#This Row],[Kode Barang]],tblKatalog[],3)</f>
        <v>#N/A</v>
      </c>
      <c r="E383" s="1"/>
      <c r="F383" s="23"/>
      <c r="G383" s="23"/>
    </row>
    <row r="384" spans="1:7" x14ac:dyDescent="0.25">
      <c r="A384" s="21"/>
      <c r="B384" s="42"/>
      <c r="C384" s="26" t="e">
        <f>+VLOOKUP(tblKeluar[[#This Row],[Kode Barang]],tblKatalog[],2)</f>
        <v>#N/A</v>
      </c>
      <c r="D384" s="26" t="e">
        <f>+VLOOKUP(tblKeluar[[#This Row],[Kode Barang]],tblKatalog[],3)</f>
        <v>#N/A</v>
      </c>
      <c r="E384" s="1"/>
      <c r="F384" s="23"/>
      <c r="G384" s="23"/>
    </row>
    <row r="385" spans="1:7" x14ac:dyDescent="0.25">
      <c r="A385" s="21"/>
      <c r="B385" s="42"/>
      <c r="C385" s="26" t="e">
        <f>+VLOOKUP(tblKeluar[[#This Row],[Kode Barang]],tblKatalog[],2)</f>
        <v>#N/A</v>
      </c>
      <c r="D385" s="26" t="e">
        <f>+VLOOKUP(tblKeluar[[#This Row],[Kode Barang]],tblKatalog[],3)</f>
        <v>#N/A</v>
      </c>
      <c r="E385" s="1"/>
      <c r="F385" s="23"/>
      <c r="G385" s="23"/>
    </row>
    <row r="386" spans="1:7" x14ac:dyDescent="0.25">
      <c r="A386" s="21"/>
      <c r="B386" s="42"/>
      <c r="C386" s="26" t="e">
        <f>+VLOOKUP(tblKeluar[[#This Row],[Kode Barang]],tblKatalog[],2)</f>
        <v>#N/A</v>
      </c>
      <c r="D386" s="26" t="e">
        <f>+VLOOKUP(tblKeluar[[#This Row],[Kode Barang]],tblKatalog[],3)</f>
        <v>#N/A</v>
      </c>
      <c r="E386" s="1"/>
      <c r="F386" s="23"/>
      <c r="G386" s="23"/>
    </row>
    <row r="387" spans="1:7" x14ac:dyDescent="0.25">
      <c r="A387" s="21"/>
      <c r="B387" s="42"/>
      <c r="C387" s="26" t="e">
        <f>+VLOOKUP(tblKeluar[[#This Row],[Kode Barang]],tblKatalog[],2)</f>
        <v>#N/A</v>
      </c>
      <c r="D387" s="26" t="e">
        <f>+VLOOKUP(tblKeluar[[#This Row],[Kode Barang]],tblKatalog[],3)</f>
        <v>#N/A</v>
      </c>
      <c r="E387" s="1"/>
      <c r="F387" s="23"/>
      <c r="G387" s="23"/>
    </row>
    <row r="388" spans="1:7" x14ac:dyDescent="0.25">
      <c r="A388" s="21"/>
      <c r="B388" s="42"/>
      <c r="C388" s="26" t="e">
        <f>+VLOOKUP(tblKeluar[[#This Row],[Kode Barang]],tblKatalog[],2)</f>
        <v>#N/A</v>
      </c>
      <c r="D388" s="26" t="e">
        <f>+VLOOKUP(tblKeluar[[#This Row],[Kode Barang]],tblKatalog[],3)</f>
        <v>#N/A</v>
      </c>
      <c r="E388" s="1"/>
      <c r="F388" s="23"/>
      <c r="G388" s="23"/>
    </row>
    <row r="389" spans="1:7" x14ac:dyDescent="0.25">
      <c r="A389" s="21"/>
      <c r="B389" s="42"/>
      <c r="C389" s="26" t="e">
        <f>+VLOOKUP(tblKeluar[[#This Row],[Kode Barang]],tblKatalog[],2)</f>
        <v>#N/A</v>
      </c>
      <c r="D389" s="26" t="e">
        <f>+VLOOKUP(tblKeluar[[#This Row],[Kode Barang]],tblKatalog[],3)</f>
        <v>#N/A</v>
      </c>
      <c r="E389" s="1"/>
      <c r="F389" s="23"/>
      <c r="G389" s="23"/>
    </row>
    <row r="390" spans="1:7" x14ac:dyDescent="0.25">
      <c r="A390" s="21"/>
      <c r="B390" s="42"/>
      <c r="C390" s="26" t="e">
        <f>+VLOOKUP(tblKeluar[[#This Row],[Kode Barang]],tblKatalog[],2)</f>
        <v>#N/A</v>
      </c>
      <c r="D390" s="26" t="e">
        <f>+VLOOKUP(tblKeluar[[#This Row],[Kode Barang]],tblKatalog[],3)</f>
        <v>#N/A</v>
      </c>
      <c r="E390" s="1"/>
      <c r="F390" s="23"/>
      <c r="G390" s="23"/>
    </row>
    <row r="391" spans="1:7" x14ac:dyDescent="0.25">
      <c r="A391" s="21"/>
      <c r="B391" s="42"/>
      <c r="C391" s="26" t="e">
        <f>+VLOOKUP(tblKeluar[[#This Row],[Kode Barang]],tblKatalog[],2)</f>
        <v>#N/A</v>
      </c>
      <c r="D391" s="26" t="e">
        <f>+VLOOKUP(tblKeluar[[#This Row],[Kode Barang]],tblKatalog[],3)</f>
        <v>#N/A</v>
      </c>
      <c r="E391" s="1"/>
      <c r="F391" s="23"/>
      <c r="G391" s="23"/>
    </row>
    <row r="392" spans="1:7" x14ac:dyDescent="0.25">
      <c r="A392" s="21"/>
      <c r="B392" s="42"/>
      <c r="C392" s="26" t="e">
        <f>+VLOOKUP(tblKeluar[[#This Row],[Kode Barang]],tblKatalog[],2)</f>
        <v>#N/A</v>
      </c>
      <c r="D392" s="26" t="e">
        <f>+VLOOKUP(tblKeluar[[#This Row],[Kode Barang]],tblKatalog[],3)</f>
        <v>#N/A</v>
      </c>
      <c r="E392" s="1"/>
      <c r="F392" s="23"/>
      <c r="G392" s="23"/>
    </row>
    <row r="393" spans="1:7" x14ac:dyDescent="0.25">
      <c r="A393" s="21"/>
      <c r="B393" s="42"/>
      <c r="C393" s="26" t="e">
        <f>+VLOOKUP(tblKeluar[[#This Row],[Kode Barang]],tblKatalog[],2)</f>
        <v>#N/A</v>
      </c>
      <c r="D393" s="26" t="e">
        <f>+VLOOKUP(tblKeluar[[#This Row],[Kode Barang]],tblKatalog[],3)</f>
        <v>#N/A</v>
      </c>
      <c r="E393" s="1"/>
      <c r="F393" s="23"/>
      <c r="G393" s="23"/>
    </row>
    <row r="394" spans="1:7" x14ac:dyDescent="0.25">
      <c r="A394" s="21"/>
      <c r="B394" s="42"/>
      <c r="C394" s="26" t="e">
        <f>+VLOOKUP(tblKeluar[[#This Row],[Kode Barang]],tblKatalog[],2)</f>
        <v>#N/A</v>
      </c>
      <c r="D394" s="26" t="e">
        <f>+VLOOKUP(tblKeluar[[#This Row],[Kode Barang]],tblKatalog[],3)</f>
        <v>#N/A</v>
      </c>
      <c r="E394" s="1"/>
      <c r="F394" s="23"/>
      <c r="G394" s="23"/>
    </row>
    <row r="395" spans="1:7" x14ac:dyDescent="0.25">
      <c r="A395" s="21"/>
      <c r="B395" s="42"/>
      <c r="C395" s="26" t="e">
        <f>+VLOOKUP(tblKeluar[[#This Row],[Kode Barang]],tblKatalog[],2)</f>
        <v>#N/A</v>
      </c>
      <c r="D395" s="26" t="e">
        <f>+VLOOKUP(tblKeluar[[#This Row],[Kode Barang]],tblKatalog[],3)</f>
        <v>#N/A</v>
      </c>
      <c r="E395" s="1"/>
      <c r="F395" s="23"/>
      <c r="G395" s="23"/>
    </row>
    <row r="396" spans="1:7" x14ac:dyDescent="0.25">
      <c r="A396" s="21"/>
      <c r="B396" s="42"/>
      <c r="C396" s="26" t="e">
        <f>+VLOOKUP(tblKeluar[[#This Row],[Kode Barang]],tblKatalog[],2)</f>
        <v>#N/A</v>
      </c>
      <c r="D396" s="26" t="e">
        <f>+VLOOKUP(tblKeluar[[#This Row],[Kode Barang]],tblKatalog[],3)</f>
        <v>#N/A</v>
      </c>
      <c r="E396" s="1"/>
      <c r="F396" s="23"/>
      <c r="G396" s="23"/>
    </row>
    <row r="397" spans="1:7" x14ac:dyDescent="0.25">
      <c r="A397" s="21"/>
      <c r="B397" s="42"/>
      <c r="C397" s="26" t="e">
        <f>+VLOOKUP(tblKeluar[[#This Row],[Kode Barang]],tblKatalog[],2)</f>
        <v>#N/A</v>
      </c>
      <c r="D397" s="26" t="e">
        <f>+VLOOKUP(tblKeluar[[#This Row],[Kode Barang]],tblKatalog[],3)</f>
        <v>#N/A</v>
      </c>
      <c r="E397" s="1"/>
      <c r="F397" s="23"/>
      <c r="G397" s="23"/>
    </row>
    <row r="398" spans="1:7" x14ac:dyDescent="0.25">
      <c r="A398" s="21"/>
      <c r="B398" s="42"/>
      <c r="C398" s="26" t="e">
        <f>+VLOOKUP(tblKeluar[[#This Row],[Kode Barang]],tblKatalog[],2)</f>
        <v>#N/A</v>
      </c>
      <c r="D398" s="26" t="e">
        <f>+VLOOKUP(tblKeluar[[#This Row],[Kode Barang]],tblKatalog[],3)</f>
        <v>#N/A</v>
      </c>
      <c r="E398" s="1"/>
      <c r="F398" s="23"/>
      <c r="G398" s="23"/>
    </row>
    <row r="399" spans="1:7" x14ac:dyDescent="0.25">
      <c r="A399" s="21"/>
      <c r="B399" s="42"/>
      <c r="C399" s="26" t="e">
        <f>+VLOOKUP(tblKeluar[[#This Row],[Kode Barang]],tblKatalog[],2)</f>
        <v>#N/A</v>
      </c>
      <c r="D399" s="26" t="e">
        <f>+VLOOKUP(tblKeluar[[#This Row],[Kode Barang]],tblKatalog[],3)</f>
        <v>#N/A</v>
      </c>
      <c r="E399" s="1"/>
      <c r="F399" s="23"/>
      <c r="G399" s="23"/>
    </row>
    <row r="400" spans="1:7" x14ac:dyDescent="0.25">
      <c r="A400" s="21"/>
      <c r="B400" s="42"/>
      <c r="C400" s="26" t="e">
        <f>+VLOOKUP(tblKeluar[[#This Row],[Kode Barang]],tblKatalog[],2)</f>
        <v>#N/A</v>
      </c>
      <c r="D400" s="26" t="e">
        <f>+VLOOKUP(tblKeluar[[#This Row],[Kode Barang]],tblKatalog[],3)</f>
        <v>#N/A</v>
      </c>
      <c r="E400" s="1"/>
      <c r="F400" s="23"/>
      <c r="G400" s="23"/>
    </row>
    <row r="401" spans="1:7" x14ac:dyDescent="0.25">
      <c r="A401" s="21"/>
      <c r="B401" s="42"/>
      <c r="C401" s="26" t="e">
        <f>+VLOOKUP(tblKeluar[[#This Row],[Kode Barang]],tblKatalog[],2)</f>
        <v>#N/A</v>
      </c>
      <c r="D401" s="26" t="e">
        <f>+VLOOKUP(tblKeluar[[#This Row],[Kode Barang]],tblKatalog[],3)</f>
        <v>#N/A</v>
      </c>
      <c r="E401" s="1"/>
      <c r="F401" s="23"/>
      <c r="G401" s="23"/>
    </row>
    <row r="402" spans="1:7" x14ac:dyDescent="0.25">
      <c r="A402" s="21"/>
      <c r="B402" s="42"/>
      <c r="C402" s="26" t="e">
        <f>+VLOOKUP(tblKeluar[[#This Row],[Kode Barang]],tblKatalog[],2)</f>
        <v>#N/A</v>
      </c>
      <c r="D402" s="26" t="e">
        <f>+VLOOKUP(tblKeluar[[#This Row],[Kode Barang]],tblKatalog[],3)</f>
        <v>#N/A</v>
      </c>
      <c r="E402" s="1"/>
      <c r="F402" s="23"/>
      <c r="G402" s="23"/>
    </row>
    <row r="403" spans="1:7" x14ac:dyDescent="0.25">
      <c r="A403" s="21"/>
      <c r="B403" s="42"/>
      <c r="C403" s="26" t="e">
        <f>+VLOOKUP(tblKeluar[[#This Row],[Kode Barang]],tblKatalog[],2)</f>
        <v>#N/A</v>
      </c>
      <c r="D403" s="26" t="e">
        <f>+VLOOKUP(tblKeluar[[#This Row],[Kode Barang]],tblKatalog[],3)</f>
        <v>#N/A</v>
      </c>
      <c r="E403" s="1"/>
      <c r="F403" s="23"/>
      <c r="G403" s="23"/>
    </row>
    <row r="404" spans="1:7" x14ac:dyDescent="0.25">
      <c r="A404" s="21"/>
      <c r="B404" s="42"/>
      <c r="C404" s="26" t="e">
        <f>+VLOOKUP(tblKeluar[[#This Row],[Kode Barang]],tblKatalog[],2)</f>
        <v>#N/A</v>
      </c>
      <c r="D404" s="26" t="e">
        <f>+VLOOKUP(tblKeluar[[#This Row],[Kode Barang]],tblKatalog[],3)</f>
        <v>#N/A</v>
      </c>
      <c r="E404" s="1"/>
      <c r="F404" s="23"/>
      <c r="G404" s="23"/>
    </row>
    <row r="405" spans="1:7" x14ac:dyDescent="0.25">
      <c r="A405" s="21"/>
      <c r="B405" s="42"/>
      <c r="C405" s="26" t="e">
        <f>+VLOOKUP(tblKeluar[[#This Row],[Kode Barang]],tblKatalog[],2)</f>
        <v>#N/A</v>
      </c>
      <c r="D405" s="26" t="e">
        <f>+VLOOKUP(tblKeluar[[#This Row],[Kode Barang]],tblKatalog[],3)</f>
        <v>#N/A</v>
      </c>
      <c r="E405" s="1"/>
      <c r="F405" s="23"/>
      <c r="G405" s="23"/>
    </row>
    <row r="406" spans="1:7" x14ac:dyDescent="0.25">
      <c r="A406" s="21"/>
      <c r="B406" s="42"/>
      <c r="C406" s="26" t="e">
        <f>+VLOOKUP(tblKeluar[[#This Row],[Kode Barang]],tblKatalog[],2)</f>
        <v>#N/A</v>
      </c>
      <c r="D406" s="26" t="e">
        <f>+VLOOKUP(tblKeluar[[#This Row],[Kode Barang]],tblKatalog[],3)</f>
        <v>#N/A</v>
      </c>
      <c r="E406" s="1"/>
      <c r="F406" s="23"/>
      <c r="G406" s="23"/>
    </row>
    <row r="407" spans="1:7" x14ac:dyDescent="0.25">
      <c r="A407" s="21"/>
      <c r="B407" s="42"/>
      <c r="C407" s="26" t="e">
        <f>+VLOOKUP(tblKeluar[[#This Row],[Kode Barang]],tblKatalog[],2)</f>
        <v>#N/A</v>
      </c>
      <c r="D407" s="26" t="e">
        <f>+VLOOKUP(tblKeluar[[#This Row],[Kode Barang]],tblKatalog[],3)</f>
        <v>#N/A</v>
      </c>
      <c r="E407" s="1"/>
      <c r="F407" s="23"/>
      <c r="G407" s="23"/>
    </row>
    <row r="408" spans="1:7" x14ac:dyDescent="0.25">
      <c r="A408" s="21"/>
      <c r="B408" s="42"/>
      <c r="C408" s="26" t="e">
        <f>+VLOOKUP(tblKeluar[[#This Row],[Kode Barang]],tblKatalog[],2)</f>
        <v>#N/A</v>
      </c>
      <c r="D408" s="26" t="e">
        <f>+VLOOKUP(tblKeluar[[#This Row],[Kode Barang]],tblKatalog[],3)</f>
        <v>#N/A</v>
      </c>
      <c r="E408" s="1"/>
      <c r="F408" s="23"/>
      <c r="G408" s="23"/>
    </row>
    <row r="409" spans="1:7" x14ac:dyDescent="0.25">
      <c r="A409" s="21"/>
      <c r="B409" s="42"/>
      <c r="C409" s="26" t="e">
        <f>+VLOOKUP(tblKeluar[[#This Row],[Kode Barang]],tblKatalog[],2)</f>
        <v>#N/A</v>
      </c>
      <c r="D409" s="26" t="e">
        <f>+VLOOKUP(tblKeluar[[#This Row],[Kode Barang]],tblKatalog[],3)</f>
        <v>#N/A</v>
      </c>
      <c r="E409" s="1"/>
      <c r="F409" s="23"/>
      <c r="G409" s="23"/>
    </row>
    <row r="410" spans="1:7" x14ac:dyDescent="0.25">
      <c r="A410" s="21"/>
      <c r="B410" s="42"/>
      <c r="C410" s="26" t="e">
        <f>+VLOOKUP(tblKeluar[[#This Row],[Kode Barang]],tblKatalog[],2)</f>
        <v>#N/A</v>
      </c>
      <c r="D410" s="26" t="e">
        <f>+VLOOKUP(tblKeluar[[#This Row],[Kode Barang]],tblKatalog[],3)</f>
        <v>#N/A</v>
      </c>
      <c r="E410" s="1"/>
      <c r="F410" s="23"/>
      <c r="G410" s="23"/>
    </row>
    <row r="411" spans="1:7" x14ac:dyDescent="0.25">
      <c r="A411" s="21"/>
      <c r="B411" s="42"/>
      <c r="C411" s="26" t="e">
        <f>+VLOOKUP(tblKeluar[[#This Row],[Kode Barang]],tblKatalog[],2)</f>
        <v>#N/A</v>
      </c>
      <c r="D411" s="26" t="e">
        <f>+VLOOKUP(tblKeluar[[#This Row],[Kode Barang]],tblKatalog[],3)</f>
        <v>#N/A</v>
      </c>
      <c r="E411" s="1"/>
      <c r="F411" s="23"/>
      <c r="G411" s="23"/>
    </row>
    <row r="412" spans="1:7" x14ac:dyDescent="0.25">
      <c r="A412" s="21"/>
      <c r="B412" s="42"/>
      <c r="C412" s="26" t="e">
        <f>+VLOOKUP(tblKeluar[[#This Row],[Kode Barang]],tblKatalog[],2)</f>
        <v>#N/A</v>
      </c>
      <c r="D412" s="26" t="e">
        <f>+VLOOKUP(tblKeluar[[#This Row],[Kode Barang]],tblKatalog[],3)</f>
        <v>#N/A</v>
      </c>
      <c r="E412" s="1"/>
      <c r="F412" s="23"/>
      <c r="G412" s="23"/>
    </row>
    <row r="413" spans="1:7" x14ac:dyDescent="0.25">
      <c r="A413" s="21"/>
      <c r="B413" s="42"/>
      <c r="C413" s="26" t="e">
        <f>+VLOOKUP(tblKeluar[[#This Row],[Kode Barang]],tblKatalog[],2)</f>
        <v>#N/A</v>
      </c>
      <c r="D413" s="26" t="e">
        <f>+VLOOKUP(tblKeluar[[#This Row],[Kode Barang]],tblKatalog[],3)</f>
        <v>#N/A</v>
      </c>
      <c r="E413" s="1"/>
      <c r="F413" s="23"/>
      <c r="G413" s="23"/>
    </row>
    <row r="414" spans="1:7" x14ac:dyDescent="0.25">
      <c r="A414" s="21"/>
      <c r="B414" s="42"/>
      <c r="C414" s="26" t="e">
        <f>+VLOOKUP(tblKeluar[[#This Row],[Kode Barang]],tblKatalog[],2)</f>
        <v>#N/A</v>
      </c>
      <c r="D414" s="26" t="e">
        <f>+VLOOKUP(tblKeluar[[#This Row],[Kode Barang]],tblKatalog[],3)</f>
        <v>#N/A</v>
      </c>
      <c r="E414" s="1"/>
      <c r="F414" s="23"/>
      <c r="G414" s="23"/>
    </row>
    <row r="415" spans="1:7" x14ac:dyDescent="0.25">
      <c r="A415" s="21"/>
      <c r="B415" s="42"/>
      <c r="C415" s="26" t="e">
        <f>+VLOOKUP(tblKeluar[[#This Row],[Kode Barang]],tblKatalog[],2)</f>
        <v>#N/A</v>
      </c>
      <c r="D415" s="26" t="e">
        <f>+VLOOKUP(tblKeluar[[#This Row],[Kode Barang]],tblKatalog[],3)</f>
        <v>#N/A</v>
      </c>
      <c r="E415" s="1"/>
      <c r="F415" s="23"/>
      <c r="G415" s="23"/>
    </row>
    <row r="416" spans="1:7" x14ac:dyDescent="0.25">
      <c r="A416" s="21"/>
      <c r="B416" s="42"/>
      <c r="C416" s="26" t="e">
        <f>+VLOOKUP(tblKeluar[[#This Row],[Kode Barang]],tblKatalog[],2)</f>
        <v>#N/A</v>
      </c>
      <c r="D416" s="26" t="e">
        <f>+VLOOKUP(tblKeluar[[#This Row],[Kode Barang]],tblKatalog[],3)</f>
        <v>#N/A</v>
      </c>
      <c r="E416" s="1"/>
      <c r="F416" s="23"/>
      <c r="G416" s="23"/>
    </row>
    <row r="417" spans="1:7" x14ac:dyDescent="0.25">
      <c r="A417" s="21"/>
      <c r="B417" s="42"/>
      <c r="C417" s="26" t="e">
        <f>+VLOOKUP(tblKeluar[[#This Row],[Kode Barang]],tblKatalog[],2)</f>
        <v>#N/A</v>
      </c>
      <c r="D417" s="26" t="e">
        <f>+VLOOKUP(tblKeluar[[#This Row],[Kode Barang]],tblKatalog[],3)</f>
        <v>#N/A</v>
      </c>
      <c r="E417" s="1"/>
      <c r="F417" s="23"/>
      <c r="G417" s="23"/>
    </row>
    <row r="418" spans="1:7" x14ac:dyDescent="0.25">
      <c r="A418" s="21"/>
      <c r="B418" s="42"/>
      <c r="C418" s="26" t="e">
        <f>+VLOOKUP(tblKeluar[[#This Row],[Kode Barang]],tblKatalog[],2)</f>
        <v>#N/A</v>
      </c>
      <c r="D418" s="26" t="e">
        <f>+VLOOKUP(tblKeluar[[#This Row],[Kode Barang]],tblKatalog[],3)</f>
        <v>#N/A</v>
      </c>
      <c r="E418" s="1"/>
      <c r="F418" s="23"/>
      <c r="G418" s="23"/>
    </row>
    <row r="419" spans="1:7" x14ac:dyDescent="0.25">
      <c r="A419" s="21"/>
      <c r="B419" s="42"/>
      <c r="C419" s="26" t="e">
        <f>+VLOOKUP(tblKeluar[[#This Row],[Kode Barang]],tblKatalog[],2)</f>
        <v>#N/A</v>
      </c>
      <c r="D419" s="26" t="e">
        <f>+VLOOKUP(tblKeluar[[#This Row],[Kode Barang]],tblKatalog[],3)</f>
        <v>#N/A</v>
      </c>
      <c r="E419" s="1"/>
      <c r="F419" s="23"/>
      <c r="G419" s="23"/>
    </row>
    <row r="420" spans="1:7" x14ac:dyDescent="0.25">
      <c r="A420" s="21"/>
      <c r="B420" s="42"/>
      <c r="C420" s="26" t="e">
        <f>+VLOOKUP(tblKeluar[[#This Row],[Kode Barang]],tblKatalog[],2)</f>
        <v>#N/A</v>
      </c>
      <c r="D420" s="26" t="e">
        <f>+VLOOKUP(tblKeluar[[#This Row],[Kode Barang]],tblKatalog[],3)</f>
        <v>#N/A</v>
      </c>
      <c r="E420" s="1"/>
      <c r="F420" s="23"/>
      <c r="G420" s="23"/>
    </row>
    <row r="421" spans="1:7" x14ac:dyDescent="0.25">
      <c r="A421" s="21"/>
      <c r="B421" s="42"/>
      <c r="C421" s="26" t="e">
        <f>+VLOOKUP(tblKeluar[[#This Row],[Kode Barang]],tblKatalog[],2)</f>
        <v>#N/A</v>
      </c>
      <c r="D421" s="26" t="e">
        <f>+VLOOKUP(tblKeluar[[#This Row],[Kode Barang]],tblKatalog[],3)</f>
        <v>#N/A</v>
      </c>
      <c r="E421" s="1"/>
      <c r="F421" s="23"/>
      <c r="G421" s="23"/>
    </row>
    <row r="422" spans="1:7" x14ac:dyDescent="0.25">
      <c r="A422" s="21"/>
      <c r="B422" s="42"/>
      <c r="C422" s="26" t="e">
        <f>+VLOOKUP(tblKeluar[[#This Row],[Kode Barang]],tblKatalog[],2)</f>
        <v>#N/A</v>
      </c>
      <c r="D422" s="26" t="e">
        <f>+VLOOKUP(tblKeluar[[#This Row],[Kode Barang]],tblKatalog[],3)</f>
        <v>#N/A</v>
      </c>
      <c r="E422" s="1"/>
      <c r="F422" s="23"/>
      <c r="G422" s="23"/>
    </row>
    <row r="423" spans="1:7" x14ac:dyDescent="0.25">
      <c r="A423" s="21"/>
      <c r="B423" s="42"/>
      <c r="C423" s="26" t="e">
        <f>+VLOOKUP(tblKeluar[[#This Row],[Kode Barang]],tblKatalog[],2)</f>
        <v>#N/A</v>
      </c>
      <c r="D423" s="26" t="e">
        <f>+VLOOKUP(tblKeluar[[#This Row],[Kode Barang]],tblKatalog[],3)</f>
        <v>#N/A</v>
      </c>
      <c r="E423" s="1"/>
      <c r="F423" s="23"/>
      <c r="G423" s="23"/>
    </row>
    <row r="424" spans="1:7" x14ac:dyDescent="0.25">
      <c r="A424" s="21"/>
      <c r="B424" s="42"/>
      <c r="C424" s="26" t="e">
        <f>+VLOOKUP(tblKeluar[[#This Row],[Kode Barang]],tblKatalog[],2)</f>
        <v>#N/A</v>
      </c>
      <c r="D424" s="26" t="e">
        <f>+VLOOKUP(tblKeluar[[#This Row],[Kode Barang]],tblKatalog[],3)</f>
        <v>#N/A</v>
      </c>
      <c r="E424" s="1"/>
      <c r="F424" s="23"/>
      <c r="G424" s="23"/>
    </row>
    <row r="425" spans="1:7" x14ac:dyDescent="0.25">
      <c r="A425" s="21"/>
      <c r="B425" s="42"/>
      <c r="C425" s="26" t="e">
        <f>+VLOOKUP(tblKeluar[[#This Row],[Kode Barang]],tblKatalog[],2)</f>
        <v>#N/A</v>
      </c>
      <c r="D425" s="26" t="e">
        <f>+VLOOKUP(tblKeluar[[#This Row],[Kode Barang]],tblKatalog[],3)</f>
        <v>#N/A</v>
      </c>
      <c r="E425" s="1"/>
      <c r="F425" s="23"/>
      <c r="G425" s="23"/>
    </row>
    <row r="426" spans="1:7" x14ac:dyDescent="0.25">
      <c r="A426" s="21"/>
      <c r="B426" s="42"/>
      <c r="C426" s="26" t="e">
        <f>+VLOOKUP(tblKeluar[[#This Row],[Kode Barang]],tblKatalog[],2)</f>
        <v>#N/A</v>
      </c>
      <c r="D426" s="26" t="e">
        <f>+VLOOKUP(tblKeluar[[#This Row],[Kode Barang]],tblKatalog[],3)</f>
        <v>#N/A</v>
      </c>
      <c r="E426" s="1"/>
      <c r="F426" s="23"/>
      <c r="G426" s="23"/>
    </row>
    <row r="427" spans="1:7" x14ac:dyDescent="0.25">
      <c r="A427" s="21"/>
      <c r="B427" s="42"/>
      <c r="C427" s="26" t="e">
        <f>+VLOOKUP(tblKeluar[[#This Row],[Kode Barang]],tblKatalog[],2)</f>
        <v>#N/A</v>
      </c>
      <c r="D427" s="26" t="e">
        <f>+VLOOKUP(tblKeluar[[#This Row],[Kode Barang]],tblKatalog[],3)</f>
        <v>#N/A</v>
      </c>
      <c r="E427" s="1"/>
      <c r="F427" s="23"/>
      <c r="G427" s="23"/>
    </row>
    <row r="428" spans="1:7" x14ac:dyDescent="0.25">
      <c r="A428" s="21"/>
      <c r="B428" s="42"/>
      <c r="C428" s="26" t="e">
        <f>+VLOOKUP(tblKeluar[[#This Row],[Kode Barang]],tblKatalog[],2)</f>
        <v>#N/A</v>
      </c>
      <c r="D428" s="26" t="e">
        <f>+VLOOKUP(tblKeluar[[#This Row],[Kode Barang]],tblKatalog[],3)</f>
        <v>#N/A</v>
      </c>
      <c r="E428" s="1"/>
      <c r="F428" s="23"/>
      <c r="G428" s="23"/>
    </row>
    <row r="429" spans="1:7" x14ac:dyDescent="0.25">
      <c r="A429" s="21"/>
      <c r="B429" s="42"/>
      <c r="C429" s="26" t="e">
        <f>+VLOOKUP(tblKeluar[[#This Row],[Kode Barang]],tblKatalog[],2)</f>
        <v>#N/A</v>
      </c>
      <c r="D429" s="26" t="e">
        <f>+VLOOKUP(tblKeluar[[#This Row],[Kode Barang]],tblKatalog[],3)</f>
        <v>#N/A</v>
      </c>
      <c r="E429" s="1"/>
      <c r="F429" s="23"/>
      <c r="G429" s="23"/>
    </row>
    <row r="430" spans="1:7" x14ac:dyDescent="0.25">
      <c r="A430" s="21"/>
      <c r="B430" s="42"/>
      <c r="C430" s="26" t="e">
        <f>+VLOOKUP(tblKeluar[[#This Row],[Kode Barang]],tblKatalog[],2)</f>
        <v>#N/A</v>
      </c>
      <c r="D430" s="26" t="e">
        <f>+VLOOKUP(tblKeluar[[#This Row],[Kode Barang]],tblKatalog[],3)</f>
        <v>#N/A</v>
      </c>
      <c r="E430" s="1"/>
      <c r="F430" s="23"/>
      <c r="G430" s="23"/>
    </row>
    <row r="431" spans="1:7" x14ac:dyDescent="0.25">
      <c r="A431" s="21"/>
      <c r="B431" s="42"/>
      <c r="C431" s="26" t="e">
        <f>+VLOOKUP(tblKeluar[[#This Row],[Kode Barang]],tblKatalog[],2)</f>
        <v>#N/A</v>
      </c>
      <c r="D431" s="26" t="e">
        <f>+VLOOKUP(tblKeluar[[#This Row],[Kode Barang]],tblKatalog[],3)</f>
        <v>#N/A</v>
      </c>
      <c r="E431" s="1"/>
      <c r="F431" s="23"/>
      <c r="G431" s="23"/>
    </row>
    <row r="432" spans="1:7" x14ac:dyDescent="0.25">
      <c r="A432" s="21"/>
      <c r="B432" s="42"/>
      <c r="C432" s="26" t="e">
        <f>+VLOOKUP(tblKeluar[[#This Row],[Kode Barang]],tblKatalog[],2)</f>
        <v>#N/A</v>
      </c>
      <c r="D432" s="26" t="e">
        <f>+VLOOKUP(tblKeluar[[#This Row],[Kode Barang]],tblKatalog[],3)</f>
        <v>#N/A</v>
      </c>
      <c r="E432" s="1"/>
      <c r="F432" s="23"/>
      <c r="G432" s="23"/>
    </row>
    <row r="433" spans="1:7" x14ac:dyDescent="0.25">
      <c r="A433" s="21"/>
      <c r="B433" s="42"/>
      <c r="C433" s="26" t="e">
        <f>+VLOOKUP(tblKeluar[[#This Row],[Kode Barang]],tblKatalog[],2)</f>
        <v>#N/A</v>
      </c>
      <c r="D433" s="26" t="e">
        <f>+VLOOKUP(tblKeluar[[#This Row],[Kode Barang]],tblKatalog[],3)</f>
        <v>#N/A</v>
      </c>
      <c r="E433" s="1"/>
      <c r="F433" s="23"/>
      <c r="G433" s="23"/>
    </row>
    <row r="434" spans="1:7" x14ac:dyDescent="0.25">
      <c r="A434" s="21"/>
      <c r="B434" s="42"/>
      <c r="C434" s="26" t="e">
        <f>+VLOOKUP(tblKeluar[[#This Row],[Kode Barang]],tblKatalog[],2)</f>
        <v>#N/A</v>
      </c>
      <c r="D434" s="26" t="e">
        <f>+VLOOKUP(tblKeluar[[#This Row],[Kode Barang]],tblKatalog[],3)</f>
        <v>#N/A</v>
      </c>
      <c r="E434" s="1"/>
      <c r="F434" s="23"/>
      <c r="G434" s="23"/>
    </row>
    <row r="435" spans="1:7" x14ac:dyDescent="0.25">
      <c r="A435" s="21"/>
      <c r="B435" s="1"/>
      <c r="C435" s="26" t="e">
        <f>+VLOOKUP(tblKeluar[[#This Row],[Kode Barang]],tblKatalog[],2)</f>
        <v>#N/A</v>
      </c>
      <c r="D435" s="26" t="e">
        <f>+VLOOKUP(tblKeluar[[#This Row],[Kode Barang]],tblKatalog[],3)</f>
        <v>#N/A</v>
      </c>
      <c r="E435" s="1"/>
      <c r="F435" s="23"/>
      <c r="G435" s="23"/>
    </row>
    <row r="436" spans="1:7" x14ac:dyDescent="0.25">
      <c r="A436" s="21"/>
      <c r="B436" s="1"/>
      <c r="C436" s="26" t="e">
        <f>+VLOOKUP(tblKeluar[[#This Row],[Kode Barang]],tblKatalog[],2)</f>
        <v>#N/A</v>
      </c>
      <c r="D436" s="26" t="e">
        <f>+VLOOKUP(tblKeluar[[#This Row],[Kode Barang]],tblKatalog[],3)</f>
        <v>#N/A</v>
      </c>
      <c r="E436" s="1"/>
      <c r="F436" s="23"/>
      <c r="G436" s="23"/>
    </row>
    <row r="437" spans="1:7" x14ac:dyDescent="0.25">
      <c r="A437" s="21"/>
      <c r="B437" s="1"/>
      <c r="C437" s="26" t="e">
        <f>+VLOOKUP(tblKeluar[[#This Row],[Kode Barang]],tblKatalog[],2)</f>
        <v>#N/A</v>
      </c>
      <c r="D437" s="26" t="e">
        <f>+VLOOKUP(tblKeluar[[#This Row],[Kode Barang]],tblKatalog[],3)</f>
        <v>#N/A</v>
      </c>
      <c r="E437" s="1"/>
      <c r="F437" s="23"/>
      <c r="G437" s="23"/>
    </row>
    <row r="438" spans="1:7" x14ac:dyDescent="0.25">
      <c r="A438" s="21"/>
      <c r="B438" s="1"/>
      <c r="C438" s="26" t="e">
        <f>+VLOOKUP(tblKeluar[[#This Row],[Kode Barang]],tblKatalog[],2)</f>
        <v>#N/A</v>
      </c>
      <c r="D438" s="26" t="e">
        <f>+VLOOKUP(tblKeluar[[#This Row],[Kode Barang]],tblKatalog[],3)</f>
        <v>#N/A</v>
      </c>
      <c r="E438" s="1"/>
      <c r="F438" s="23"/>
      <c r="G438" s="23"/>
    </row>
    <row r="439" spans="1:7" x14ac:dyDescent="0.25">
      <c r="A439" s="21"/>
      <c r="B439" s="1"/>
      <c r="C439" s="26" t="e">
        <f>+VLOOKUP(tblKeluar[[#This Row],[Kode Barang]],tblKatalog[],2)</f>
        <v>#N/A</v>
      </c>
      <c r="D439" s="26" t="e">
        <f>+VLOOKUP(tblKeluar[[#This Row],[Kode Barang]],tblKatalog[],3)</f>
        <v>#N/A</v>
      </c>
      <c r="E439" s="1"/>
      <c r="F439" s="23"/>
      <c r="G439" s="23"/>
    </row>
    <row r="440" spans="1:7" x14ac:dyDescent="0.25">
      <c r="A440" s="21"/>
      <c r="B440" s="1"/>
      <c r="C440" s="26" t="e">
        <f>+VLOOKUP(tblKeluar[[#This Row],[Kode Barang]],tblKatalog[],2)</f>
        <v>#N/A</v>
      </c>
      <c r="D440" s="26" t="e">
        <f>+VLOOKUP(tblKeluar[[#This Row],[Kode Barang]],tblKatalog[],3)</f>
        <v>#N/A</v>
      </c>
      <c r="E440" s="1"/>
      <c r="F440" s="23"/>
      <c r="G440" s="23"/>
    </row>
    <row r="441" spans="1:7" x14ac:dyDescent="0.25">
      <c r="A441" s="21"/>
      <c r="B441" s="1"/>
      <c r="C441" s="26" t="e">
        <f>+VLOOKUP(tblKeluar[[#This Row],[Kode Barang]],tblKatalog[],2)</f>
        <v>#N/A</v>
      </c>
      <c r="D441" s="26" t="e">
        <f>+VLOOKUP(tblKeluar[[#This Row],[Kode Barang]],tblKatalog[],3)</f>
        <v>#N/A</v>
      </c>
      <c r="E441" s="1"/>
      <c r="F441" s="23"/>
      <c r="G441" s="23"/>
    </row>
    <row r="442" spans="1:7" x14ac:dyDescent="0.25">
      <c r="A442" s="21"/>
      <c r="B442" s="1"/>
      <c r="C442" s="26" t="e">
        <f>+VLOOKUP(tblKeluar[[#This Row],[Kode Barang]],tblKatalog[],2)</f>
        <v>#N/A</v>
      </c>
      <c r="D442" s="26" t="e">
        <f>+VLOOKUP(tblKeluar[[#This Row],[Kode Barang]],tblKatalog[],3)</f>
        <v>#N/A</v>
      </c>
      <c r="E442" s="1"/>
      <c r="F442" s="23"/>
      <c r="G442" s="23"/>
    </row>
    <row r="443" spans="1:7" x14ac:dyDescent="0.25">
      <c r="A443" s="21"/>
      <c r="B443" s="1"/>
      <c r="C443" s="26" t="e">
        <f>+VLOOKUP(tblKeluar[[#This Row],[Kode Barang]],tblKatalog[],2)</f>
        <v>#N/A</v>
      </c>
      <c r="D443" s="26" t="e">
        <f>+VLOOKUP(tblKeluar[[#This Row],[Kode Barang]],tblKatalog[],3)</f>
        <v>#N/A</v>
      </c>
      <c r="E443" s="1"/>
      <c r="F443" s="23"/>
      <c r="G443" s="23"/>
    </row>
    <row r="444" spans="1:7" x14ac:dyDescent="0.25">
      <c r="A444" s="21"/>
      <c r="B444" s="1"/>
      <c r="C444" s="26" t="e">
        <f>+VLOOKUP(tblKeluar[[#This Row],[Kode Barang]],tblKatalog[],2)</f>
        <v>#N/A</v>
      </c>
      <c r="D444" s="26" t="e">
        <f>+VLOOKUP(tblKeluar[[#This Row],[Kode Barang]],tblKatalog[],3)</f>
        <v>#N/A</v>
      </c>
      <c r="E444" s="1"/>
      <c r="F444" s="23"/>
      <c r="G444" s="23"/>
    </row>
    <row r="445" spans="1:7" x14ac:dyDescent="0.25">
      <c r="A445" s="21"/>
      <c r="B445" s="1"/>
      <c r="C445" s="26" t="e">
        <f>+VLOOKUP(tblKeluar[[#This Row],[Kode Barang]],tblKatalog[],2)</f>
        <v>#N/A</v>
      </c>
      <c r="D445" s="26" t="e">
        <f>+VLOOKUP(tblKeluar[[#This Row],[Kode Barang]],tblKatalog[],3)</f>
        <v>#N/A</v>
      </c>
      <c r="E445" s="1"/>
      <c r="F445" s="23"/>
      <c r="G445" s="23"/>
    </row>
    <row r="446" spans="1:7" x14ac:dyDescent="0.25">
      <c r="A446" s="21"/>
      <c r="B446" s="1"/>
      <c r="C446" s="26" t="e">
        <f>+VLOOKUP(tblKeluar[[#This Row],[Kode Barang]],tblKatalog[],2)</f>
        <v>#N/A</v>
      </c>
      <c r="D446" s="26" t="e">
        <f>+VLOOKUP(tblKeluar[[#This Row],[Kode Barang]],tblKatalog[],3)</f>
        <v>#N/A</v>
      </c>
      <c r="E446" s="1"/>
      <c r="F446" s="23"/>
      <c r="G446" s="23"/>
    </row>
    <row r="447" spans="1:7" x14ac:dyDescent="0.25">
      <c r="A447" s="21"/>
      <c r="B447" s="1"/>
      <c r="C447" s="26" t="e">
        <f>+VLOOKUP(tblKeluar[[#This Row],[Kode Barang]],tblKatalog[],2)</f>
        <v>#N/A</v>
      </c>
      <c r="D447" s="26" t="e">
        <f>+VLOOKUP(tblKeluar[[#This Row],[Kode Barang]],tblKatalog[],3)</f>
        <v>#N/A</v>
      </c>
      <c r="E447" s="1"/>
      <c r="F447" s="23"/>
      <c r="G447" s="23"/>
    </row>
    <row r="448" spans="1:7" x14ac:dyDescent="0.25">
      <c r="A448" s="21"/>
      <c r="B448" s="1"/>
      <c r="C448" s="26" t="e">
        <f>+VLOOKUP(tblKeluar[[#This Row],[Kode Barang]],tblKatalog[],2)</f>
        <v>#N/A</v>
      </c>
      <c r="D448" s="26" t="e">
        <f>+VLOOKUP(tblKeluar[[#This Row],[Kode Barang]],tblKatalog[],3)</f>
        <v>#N/A</v>
      </c>
      <c r="E448" s="1"/>
      <c r="F448" s="23"/>
      <c r="G448" s="23"/>
    </row>
    <row r="449" spans="1:7" x14ac:dyDescent="0.25">
      <c r="A449" s="21"/>
      <c r="B449" s="1"/>
      <c r="C449" s="26" t="e">
        <f>+VLOOKUP(tblKeluar[[#This Row],[Kode Barang]],tblKatalog[],2)</f>
        <v>#N/A</v>
      </c>
      <c r="D449" s="26" t="e">
        <f>+VLOOKUP(tblKeluar[[#This Row],[Kode Barang]],tblKatalog[],3)</f>
        <v>#N/A</v>
      </c>
      <c r="E449" s="1"/>
      <c r="F449" s="23"/>
      <c r="G449" s="23"/>
    </row>
    <row r="450" spans="1:7" x14ac:dyDescent="0.25">
      <c r="A450" s="21"/>
      <c r="B450" s="1"/>
      <c r="C450" s="26" t="e">
        <f>+VLOOKUP(tblKeluar[[#This Row],[Kode Barang]],tblKatalog[],2)</f>
        <v>#N/A</v>
      </c>
      <c r="D450" s="26" t="e">
        <f>+VLOOKUP(tblKeluar[[#This Row],[Kode Barang]],tblKatalog[],3)</f>
        <v>#N/A</v>
      </c>
      <c r="E450" s="1"/>
      <c r="F450" s="23"/>
      <c r="G450" s="23"/>
    </row>
    <row r="451" spans="1:7" x14ac:dyDescent="0.25">
      <c r="A451" s="21"/>
      <c r="B451" s="1"/>
      <c r="C451" s="26" t="e">
        <f>+VLOOKUP(tblKeluar[[#This Row],[Kode Barang]],tblKatalog[],2)</f>
        <v>#N/A</v>
      </c>
      <c r="D451" s="26" t="e">
        <f>+VLOOKUP(tblKeluar[[#This Row],[Kode Barang]],tblKatalog[],3)</f>
        <v>#N/A</v>
      </c>
      <c r="E451" s="1"/>
      <c r="F451" s="23"/>
      <c r="G451" s="23"/>
    </row>
    <row r="452" spans="1:7" x14ac:dyDescent="0.25">
      <c r="A452" s="21"/>
      <c r="B452" s="1"/>
      <c r="C452" s="26" t="e">
        <f>+VLOOKUP(tblKeluar[[#This Row],[Kode Barang]],tblKatalog[],2)</f>
        <v>#N/A</v>
      </c>
      <c r="D452" s="26" t="e">
        <f>+VLOOKUP(tblKeluar[[#This Row],[Kode Barang]],tblKatalog[],3)</f>
        <v>#N/A</v>
      </c>
      <c r="E452" s="1"/>
      <c r="F452" s="23"/>
      <c r="G452" s="23"/>
    </row>
    <row r="453" spans="1:7" x14ac:dyDescent="0.25">
      <c r="A453" s="21"/>
      <c r="B453" s="42"/>
      <c r="C453" s="26" t="e">
        <f>+VLOOKUP(tblKeluar[[#This Row],[Kode Barang]],tblKatalog[],2)</f>
        <v>#N/A</v>
      </c>
      <c r="D453" s="26" t="e">
        <f>+VLOOKUP(tblKeluar[[#This Row],[Kode Barang]],tblKatalog[],3)</f>
        <v>#N/A</v>
      </c>
      <c r="E453" s="1"/>
      <c r="F453" s="23"/>
      <c r="G453" s="23"/>
    </row>
    <row r="454" spans="1:7" x14ac:dyDescent="0.25">
      <c r="A454" s="21"/>
      <c r="B454" s="1"/>
      <c r="C454" s="26" t="e">
        <f>+VLOOKUP(tblKeluar[[#This Row],[Kode Barang]],tblKatalog[],2)</f>
        <v>#N/A</v>
      </c>
      <c r="D454" s="26" t="e">
        <f>+VLOOKUP(tblKeluar[[#This Row],[Kode Barang]],tblKatalog[],3)</f>
        <v>#N/A</v>
      </c>
      <c r="E454" s="1"/>
      <c r="F454" s="23"/>
      <c r="G454" s="23"/>
    </row>
    <row r="455" spans="1:7" x14ac:dyDescent="0.25">
      <c r="A455" s="21"/>
      <c r="B455" s="1"/>
      <c r="C455" s="26" t="e">
        <f>+VLOOKUP(tblKeluar[[#This Row],[Kode Barang]],tblKatalog[],2)</f>
        <v>#N/A</v>
      </c>
      <c r="D455" s="26" t="e">
        <f>+VLOOKUP(tblKeluar[[#This Row],[Kode Barang]],tblKatalog[],3)</f>
        <v>#N/A</v>
      </c>
      <c r="E455" s="1"/>
      <c r="F455" s="23"/>
      <c r="G455" s="23"/>
    </row>
    <row r="456" spans="1:7" x14ac:dyDescent="0.25">
      <c r="A456" s="21"/>
      <c r="B456" s="1"/>
      <c r="C456" s="26" t="e">
        <f>+VLOOKUP(tblKeluar[[#This Row],[Kode Barang]],tblKatalog[],2)</f>
        <v>#N/A</v>
      </c>
      <c r="D456" s="26" t="e">
        <f>+VLOOKUP(tblKeluar[[#This Row],[Kode Barang]],tblKatalog[],3)</f>
        <v>#N/A</v>
      </c>
      <c r="E456" s="1"/>
      <c r="F456" s="23"/>
      <c r="G456" s="23"/>
    </row>
    <row r="457" spans="1:7" x14ac:dyDescent="0.25">
      <c r="A457" s="21"/>
      <c r="B457" s="1"/>
      <c r="C457" s="26" t="e">
        <f>+VLOOKUP(tblKeluar[[#This Row],[Kode Barang]],tblKatalog[],2)</f>
        <v>#N/A</v>
      </c>
      <c r="D457" s="26" t="e">
        <f>+VLOOKUP(tblKeluar[[#This Row],[Kode Barang]],tblKatalog[],3)</f>
        <v>#N/A</v>
      </c>
      <c r="E457" s="1"/>
      <c r="F457" s="23"/>
      <c r="G457" s="23"/>
    </row>
    <row r="458" spans="1:7" x14ac:dyDescent="0.25">
      <c r="A458" s="21"/>
      <c r="B458" s="1"/>
      <c r="C458" s="26" t="e">
        <f>+VLOOKUP(tblKeluar[[#This Row],[Kode Barang]],tblKatalog[],2)</f>
        <v>#N/A</v>
      </c>
      <c r="D458" s="26" t="e">
        <f>+VLOOKUP(tblKeluar[[#This Row],[Kode Barang]],tblKatalog[],3)</f>
        <v>#N/A</v>
      </c>
      <c r="E458" s="1"/>
      <c r="F458" s="23"/>
      <c r="G458" s="23"/>
    </row>
    <row r="459" spans="1:7" x14ac:dyDescent="0.25">
      <c r="A459" s="21"/>
      <c r="B459" s="1"/>
      <c r="C459" s="26" t="e">
        <f>+VLOOKUP(tblKeluar[[#This Row],[Kode Barang]],tblKatalog[],2)</f>
        <v>#N/A</v>
      </c>
      <c r="D459" s="26" t="e">
        <f>+VLOOKUP(tblKeluar[[#This Row],[Kode Barang]],tblKatalog[],3)</f>
        <v>#N/A</v>
      </c>
      <c r="E459" s="1"/>
      <c r="F459" s="23"/>
      <c r="G459" s="23"/>
    </row>
    <row r="460" spans="1:7" x14ac:dyDescent="0.25">
      <c r="A460" s="21"/>
      <c r="B460" s="1"/>
      <c r="C460" s="26" t="e">
        <f>+VLOOKUP(tblKeluar[[#This Row],[Kode Barang]],tblKatalog[],2)</f>
        <v>#N/A</v>
      </c>
      <c r="D460" s="26" t="e">
        <f>+VLOOKUP(tblKeluar[[#This Row],[Kode Barang]],tblKatalog[],3)</f>
        <v>#N/A</v>
      </c>
      <c r="E460" s="1"/>
      <c r="F460" s="23"/>
      <c r="G460" s="23"/>
    </row>
    <row r="461" spans="1:7" x14ac:dyDescent="0.25">
      <c r="A461" s="21"/>
      <c r="B461" s="1"/>
      <c r="C461" s="26" t="e">
        <f>+VLOOKUP(tblKeluar[[#This Row],[Kode Barang]],tblKatalog[],2)</f>
        <v>#N/A</v>
      </c>
      <c r="D461" s="26" t="e">
        <f>+VLOOKUP(tblKeluar[[#This Row],[Kode Barang]],tblKatalog[],3)</f>
        <v>#N/A</v>
      </c>
      <c r="E461" s="1"/>
      <c r="F461" s="23"/>
      <c r="G461" s="23"/>
    </row>
    <row r="462" spans="1:7" x14ac:dyDescent="0.25">
      <c r="A462" s="21"/>
      <c r="B462" s="1"/>
      <c r="C462" s="26" t="e">
        <f>+VLOOKUP(tblKeluar[[#This Row],[Kode Barang]],tblKatalog[],2)</f>
        <v>#N/A</v>
      </c>
      <c r="D462" s="26" t="e">
        <f>+VLOOKUP(tblKeluar[[#This Row],[Kode Barang]],tblKatalog[],3)</f>
        <v>#N/A</v>
      </c>
      <c r="E462" s="1"/>
      <c r="F462" s="23"/>
      <c r="G462" s="23"/>
    </row>
    <row r="463" spans="1:7" x14ac:dyDescent="0.25">
      <c r="A463" s="21"/>
      <c r="B463" s="1"/>
      <c r="C463" s="26" t="e">
        <f>+VLOOKUP(tblKeluar[[#This Row],[Kode Barang]],tblKatalog[],2)</f>
        <v>#N/A</v>
      </c>
      <c r="D463" s="26" t="e">
        <f>+VLOOKUP(tblKeluar[[#This Row],[Kode Barang]],tblKatalog[],3)</f>
        <v>#N/A</v>
      </c>
      <c r="E463" s="1"/>
      <c r="F463" s="23"/>
      <c r="G463" s="23"/>
    </row>
    <row r="464" spans="1:7" x14ac:dyDescent="0.25">
      <c r="A464" s="21"/>
      <c r="B464" s="1"/>
      <c r="C464" s="26" t="e">
        <f>+VLOOKUP(tblKeluar[[#This Row],[Kode Barang]],tblKatalog[],2)</f>
        <v>#N/A</v>
      </c>
      <c r="D464" s="26" t="e">
        <f>+VLOOKUP(tblKeluar[[#This Row],[Kode Barang]],tblKatalog[],3)</f>
        <v>#N/A</v>
      </c>
      <c r="E464" s="1"/>
      <c r="F464" s="23"/>
      <c r="G464" s="23"/>
    </row>
    <row r="465" spans="1:7" x14ac:dyDescent="0.25">
      <c r="A465" s="21"/>
      <c r="B465" s="1"/>
      <c r="C465" s="26" t="e">
        <f>+VLOOKUP(tblKeluar[[#This Row],[Kode Barang]],tblKatalog[],2)</f>
        <v>#N/A</v>
      </c>
      <c r="D465" s="26" t="e">
        <f>+VLOOKUP(tblKeluar[[#This Row],[Kode Barang]],tblKatalog[],3)</f>
        <v>#N/A</v>
      </c>
      <c r="E465" s="1"/>
      <c r="F465" s="23"/>
      <c r="G465" s="23"/>
    </row>
    <row r="466" spans="1:7" x14ac:dyDescent="0.25">
      <c r="A466" s="21"/>
      <c r="B466" s="1"/>
      <c r="C466" s="26" t="e">
        <f>+VLOOKUP(tblKeluar[[#This Row],[Kode Barang]],tblKatalog[],2)</f>
        <v>#N/A</v>
      </c>
      <c r="D466" s="26" t="e">
        <f>+VLOOKUP(tblKeluar[[#This Row],[Kode Barang]],tblKatalog[],3)</f>
        <v>#N/A</v>
      </c>
      <c r="E466" s="1"/>
      <c r="F466" s="23"/>
      <c r="G466" s="23"/>
    </row>
    <row r="467" spans="1:7" x14ac:dyDescent="0.25">
      <c r="A467" s="21"/>
      <c r="B467" s="1"/>
      <c r="C467" s="26" t="e">
        <f>+VLOOKUP(tblKeluar[[#This Row],[Kode Barang]],tblKatalog[],2)</f>
        <v>#N/A</v>
      </c>
      <c r="D467" s="26" t="e">
        <f>+VLOOKUP(tblKeluar[[#This Row],[Kode Barang]],tblKatalog[],3)</f>
        <v>#N/A</v>
      </c>
      <c r="E467" s="1"/>
      <c r="F467" s="23"/>
      <c r="G467" s="23"/>
    </row>
    <row r="468" spans="1:7" x14ac:dyDescent="0.25">
      <c r="A468" s="21"/>
      <c r="B468" s="1"/>
      <c r="C468" s="26" t="e">
        <f>+VLOOKUP(tblKeluar[[#This Row],[Kode Barang]],tblKatalog[],2)</f>
        <v>#N/A</v>
      </c>
      <c r="D468" s="26" t="e">
        <f>+VLOOKUP(tblKeluar[[#This Row],[Kode Barang]],tblKatalog[],3)</f>
        <v>#N/A</v>
      </c>
      <c r="E468" s="1"/>
      <c r="F468" s="23"/>
      <c r="G468" s="23"/>
    </row>
    <row r="469" spans="1:7" x14ac:dyDescent="0.25">
      <c r="A469" s="21"/>
      <c r="B469" s="1"/>
      <c r="C469" s="26" t="e">
        <f>+VLOOKUP(tblKeluar[[#This Row],[Kode Barang]],tblKatalog[],2)</f>
        <v>#N/A</v>
      </c>
      <c r="D469" s="26" t="e">
        <f>+VLOOKUP(tblKeluar[[#This Row],[Kode Barang]],tblKatalog[],3)</f>
        <v>#N/A</v>
      </c>
      <c r="E469" s="1"/>
      <c r="F469" s="23"/>
      <c r="G469" s="23"/>
    </row>
    <row r="470" spans="1:7" x14ac:dyDescent="0.25">
      <c r="A470" s="21"/>
      <c r="B470" s="1"/>
      <c r="C470" s="26" t="e">
        <f>+VLOOKUP(tblKeluar[[#This Row],[Kode Barang]],tblKatalog[],2)</f>
        <v>#N/A</v>
      </c>
      <c r="D470" s="26" t="e">
        <f>+VLOOKUP(tblKeluar[[#This Row],[Kode Barang]],tblKatalog[],3)</f>
        <v>#N/A</v>
      </c>
      <c r="E470" s="1"/>
      <c r="F470" s="23"/>
      <c r="G470" s="23"/>
    </row>
    <row r="471" spans="1:7" x14ac:dyDescent="0.25">
      <c r="A471" s="21"/>
      <c r="B471" s="1"/>
      <c r="C471" s="26" t="e">
        <f>+VLOOKUP(tblKeluar[[#This Row],[Kode Barang]],tblKatalog[],2)</f>
        <v>#N/A</v>
      </c>
      <c r="D471" s="26" t="e">
        <f>+VLOOKUP(tblKeluar[[#This Row],[Kode Barang]],tblKatalog[],3)</f>
        <v>#N/A</v>
      </c>
      <c r="E471" s="1"/>
      <c r="F471" s="23"/>
      <c r="G471" s="23"/>
    </row>
    <row r="472" spans="1:7" x14ac:dyDescent="0.25">
      <c r="A472" s="21"/>
      <c r="B472" s="1"/>
      <c r="C472" s="26" t="e">
        <f>+VLOOKUP(tblKeluar[[#This Row],[Kode Barang]],tblKatalog[],2)</f>
        <v>#N/A</v>
      </c>
      <c r="D472" s="26" t="e">
        <f>+VLOOKUP(tblKeluar[[#This Row],[Kode Barang]],tblKatalog[],3)</f>
        <v>#N/A</v>
      </c>
      <c r="E472" s="1"/>
      <c r="F472" s="23"/>
      <c r="G472" s="23"/>
    </row>
    <row r="473" spans="1:7" x14ac:dyDescent="0.25">
      <c r="A473" s="21"/>
      <c r="B473" s="1"/>
      <c r="C473" s="26" t="e">
        <f>+VLOOKUP(tblKeluar[[#This Row],[Kode Barang]],tblKatalog[],2)</f>
        <v>#N/A</v>
      </c>
      <c r="D473" s="26" t="e">
        <f>+VLOOKUP(tblKeluar[[#This Row],[Kode Barang]],tblKatalog[],3)</f>
        <v>#N/A</v>
      </c>
      <c r="E473" s="1"/>
      <c r="F473" s="23"/>
      <c r="G473" s="23"/>
    </row>
    <row r="474" spans="1:7" x14ac:dyDescent="0.25">
      <c r="A474" s="21"/>
      <c r="B474" s="1"/>
      <c r="C474" s="26" t="e">
        <f>+VLOOKUP(tblKeluar[[#This Row],[Kode Barang]],tblKatalog[],2)</f>
        <v>#N/A</v>
      </c>
      <c r="D474" s="26" t="e">
        <f>+VLOOKUP(tblKeluar[[#This Row],[Kode Barang]],tblKatalog[],3)</f>
        <v>#N/A</v>
      </c>
      <c r="E474" s="1"/>
      <c r="F474" s="23"/>
      <c r="G474" s="23"/>
    </row>
    <row r="475" spans="1:7" x14ac:dyDescent="0.25">
      <c r="A475" s="21"/>
      <c r="B475" s="1"/>
      <c r="C475" s="26" t="e">
        <f>+VLOOKUP(tblKeluar[[#This Row],[Kode Barang]],tblKatalog[],2)</f>
        <v>#N/A</v>
      </c>
      <c r="D475" s="26" t="e">
        <f>+VLOOKUP(tblKeluar[[#This Row],[Kode Barang]],tblKatalog[],3)</f>
        <v>#N/A</v>
      </c>
      <c r="E475" s="1"/>
      <c r="F475" s="23"/>
      <c r="G475" s="23"/>
    </row>
    <row r="476" spans="1:7" x14ac:dyDescent="0.25">
      <c r="A476" s="21"/>
      <c r="B476" s="1"/>
      <c r="C476" s="26" t="e">
        <f>+VLOOKUP(tblKeluar[[#This Row],[Kode Barang]],tblKatalog[],2)</f>
        <v>#N/A</v>
      </c>
      <c r="D476" s="26" t="e">
        <f>+VLOOKUP(tblKeluar[[#This Row],[Kode Barang]],tblKatalog[],3)</f>
        <v>#N/A</v>
      </c>
      <c r="E476" s="1"/>
      <c r="F476" s="23"/>
      <c r="G476" s="23"/>
    </row>
    <row r="477" spans="1:7" x14ac:dyDescent="0.25">
      <c r="A477" s="21"/>
      <c r="B477" s="42"/>
      <c r="C477" s="26" t="e">
        <f>+VLOOKUP(tblKeluar[[#This Row],[Kode Barang]],tblKatalog[],2)</f>
        <v>#N/A</v>
      </c>
      <c r="D477" s="26" t="e">
        <f>+VLOOKUP(tblKeluar[[#This Row],[Kode Barang]],tblKatalog[],3)</f>
        <v>#N/A</v>
      </c>
      <c r="E477" s="1"/>
      <c r="F477" s="23"/>
      <c r="G477" s="23"/>
    </row>
    <row r="478" spans="1:7" x14ac:dyDescent="0.25">
      <c r="A478" s="21"/>
      <c r="B478" s="42"/>
      <c r="C478" s="26" t="e">
        <f>+VLOOKUP(tblKeluar[[#This Row],[Kode Barang]],tblKatalog[],2)</f>
        <v>#N/A</v>
      </c>
      <c r="D478" s="26" t="e">
        <f>+VLOOKUP(tblKeluar[[#This Row],[Kode Barang]],tblKatalog[],3)</f>
        <v>#N/A</v>
      </c>
      <c r="E478" s="1"/>
      <c r="F478" s="23"/>
      <c r="G478" s="23"/>
    </row>
    <row r="479" spans="1:7" x14ac:dyDescent="0.25">
      <c r="A479" s="21"/>
      <c r="B479" s="42"/>
      <c r="C479" s="26" t="e">
        <f>+VLOOKUP(tblKeluar[[#This Row],[Kode Barang]],tblKatalog[],2)</f>
        <v>#N/A</v>
      </c>
      <c r="D479" s="26" t="e">
        <f>+VLOOKUP(tblKeluar[[#This Row],[Kode Barang]],tblKatalog[],3)</f>
        <v>#N/A</v>
      </c>
      <c r="E479" s="1"/>
      <c r="F479" s="23"/>
      <c r="G479" s="23"/>
    </row>
    <row r="480" spans="1:7" x14ac:dyDescent="0.25">
      <c r="A480" s="21"/>
      <c r="B480" s="42"/>
      <c r="C480" s="26" t="e">
        <f>+VLOOKUP(tblKeluar[[#This Row],[Kode Barang]],tblKatalog[],2)</f>
        <v>#N/A</v>
      </c>
      <c r="D480" s="26" t="e">
        <f>+VLOOKUP(tblKeluar[[#This Row],[Kode Barang]],tblKatalog[],3)</f>
        <v>#N/A</v>
      </c>
      <c r="E480" s="1"/>
      <c r="F480" s="23"/>
      <c r="G480" s="23"/>
    </row>
    <row r="481" spans="1:7" x14ac:dyDescent="0.25">
      <c r="A481" s="21"/>
      <c r="B481" s="42"/>
      <c r="C481" s="26" t="e">
        <f>+VLOOKUP(tblKeluar[[#This Row],[Kode Barang]],tblKatalog[],2)</f>
        <v>#N/A</v>
      </c>
      <c r="D481" s="26" t="e">
        <f>+VLOOKUP(tblKeluar[[#This Row],[Kode Barang]],tblKatalog[],3)</f>
        <v>#N/A</v>
      </c>
      <c r="E481" s="1"/>
      <c r="F481" s="23"/>
      <c r="G481" s="23"/>
    </row>
    <row r="482" spans="1:7" x14ac:dyDescent="0.25">
      <c r="A482" s="21"/>
      <c r="B482" s="42"/>
      <c r="C482" s="26" t="e">
        <f>+VLOOKUP(tblKeluar[[#This Row],[Kode Barang]],tblKatalog[],2)</f>
        <v>#N/A</v>
      </c>
      <c r="D482" s="26" t="e">
        <f>+VLOOKUP(tblKeluar[[#This Row],[Kode Barang]],tblKatalog[],3)</f>
        <v>#N/A</v>
      </c>
      <c r="E482" s="1"/>
      <c r="F482" s="23"/>
      <c r="G482" s="23"/>
    </row>
    <row r="483" spans="1:7" x14ac:dyDescent="0.25">
      <c r="A483" s="21"/>
      <c r="B483" s="42"/>
      <c r="C483" s="26" t="e">
        <f>+VLOOKUP(tblKeluar[[#This Row],[Kode Barang]],tblKatalog[],2)</f>
        <v>#N/A</v>
      </c>
      <c r="D483" s="26" t="e">
        <f>+VLOOKUP(tblKeluar[[#This Row],[Kode Barang]],tblKatalog[],3)</f>
        <v>#N/A</v>
      </c>
      <c r="E483" s="1"/>
      <c r="F483" s="23"/>
      <c r="G483" s="23"/>
    </row>
    <row r="484" spans="1:7" x14ac:dyDescent="0.25">
      <c r="A484" s="21"/>
      <c r="B484" s="42"/>
      <c r="C484" s="26" t="e">
        <f>+VLOOKUP(tblKeluar[[#This Row],[Kode Barang]],tblKatalog[],2)</f>
        <v>#N/A</v>
      </c>
      <c r="D484" s="26" t="e">
        <f>+VLOOKUP(tblKeluar[[#This Row],[Kode Barang]],tblKatalog[],3)</f>
        <v>#N/A</v>
      </c>
      <c r="E484" s="1"/>
      <c r="F484" s="23"/>
      <c r="G484" s="23"/>
    </row>
    <row r="485" spans="1:7" x14ac:dyDescent="0.25">
      <c r="A485" s="21"/>
      <c r="B485" s="42"/>
      <c r="C485" s="26" t="e">
        <f>+VLOOKUP(tblKeluar[[#This Row],[Kode Barang]],tblKatalog[],2)</f>
        <v>#N/A</v>
      </c>
      <c r="D485" s="26" t="e">
        <f>+VLOOKUP(tblKeluar[[#This Row],[Kode Barang]],tblKatalog[],3)</f>
        <v>#N/A</v>
      </c>
      <c r="E485" s="1"/>
      <c r="F485" s="23"/>
      <c r="G485" s="23"/>
    </row>
    <row r="486" spans="1:7" x14ac:dyDescent="0.25">
      <c r="A486" s="21"/>
      <c r="B486" s="42"/>
      <c r="C486" s="26" t="e">
        <f>+VLOOKUP(tblKeluar[[#This Row],[Kode Barang]],tblKatalog[],2)</f>
        <v>#N/A</v>
      </c>
      <c r="D486" s="26" t="e">
        <f>+VLOOKUP(tblKeluar[[#This Row],[Kode Barang]],tblKatalog[],3)</f>
        <v>#N/A</v>
      </c>
      <c r="E486" s="1"/>
      <c r="F486" s="23"/>
      <c r="G486" s="23"/>
    </row>
    <row r="487" spans="1:7" x14ac:dyDescent="0.25">
      <c r="A487" s="21"/>
      <c r="B487" s="42"/>
      <c r="C487" s="26" t="e">
        <f>+VLOOKUP(tblKeluar[[#This Row],[Kode Barang]],tblKatalog[],2)</f>
        <v>#N/A</v>
      </c>
      <c r="D487" s="26" t="e">
        <f>+VLOOKUP(tblKeluar[[#This Row],[Kode Barang]],tblKatalog[],3)</f>
        <v>#N/A</v>
      </c>
      <c r="E487" s="1"/>
      <c r="F487" s="23"/>
      <c r="G487" s="23"/>
    </row>
    <row r="488" spans="1:7" x14ac:dyDescent="0.25">
      <c r="A488" s="21"/>
      <c r="B488" s="42"/>
      <c r="C488" s="26" t="e">
        <f>+VLOOKUP(tblKeluar[[#This Row],[Kode Barang]],tblKatalog[],2)</f>
        <v>#N/A</v>
      </c>
      <c r="D488" s="26" t="e">
        <f>+VLOOKUP(tblKeluar[[#This Row],[Kode Barang]],tblKatalog[],3)</f>
        <v>#N/A</v>
      </c>
      <c r="E488" s="1"/>
      <c r="F488" s="23"/>
      <c r="G488" s="23"/>
    </row>
    <row r="489" spans="1:7" x14ac:dyDescent="0.25">
      <c r="A489" s="21"/>
      <c r="B489" s="42"/>
      <c r="C489" s="26" t="e">
        <f>+VLOOKUP(tblKeluar[[#This Row],[Kode Barang]],tblKatalog[],2)</f>
        <v>#N/A</v>
      </c>
      <c r="D489" s="26" t="e">
        <f>+VLOOKUP(tblKeluar[[#This Row],[Kode Barang]],tblKatalog[],3)</f>
        <v>#N/A</v>
      </c>
      <c r="E489" s="1"/>
      <c r="F489" s="23"/>
      <c r="G489" s="23"/>
    </row>
    <row r="490" spans="1:7" x14ac:dyDescent="0.25">
      <c r="A490" s="21"/>
      <c r="B490" s="42"/>
      <c r="C490" s="26" t="e">
        <f>+VLOOKUP(tblKeluar[[#This Row],[Kode Barang]],tblKatalog[],2)</f>
        <v>#N/A</v>
      </c>
      <c r="D490" s="26" t="e">
        <f>+VLOOKUP(tblKeluar[[#This Row],[Kode Barang]],tblKatalog[],3)</f>
        <v>#N/A</v>
      </c>
      <c r="E490" s="1"/>
      <c r="F490" s="23"/>
      <c r="G490" s="23"/>
    </row>
    <row r="491" spans="1:7" x14ac:dyDescent="0.25">
      <c r="A491" s="21"/>
      <c r="B491" s="42"/>
      <c r="C491" s="26" t="e">
        <f>+VLOOKUP(tblKeluar[[#This Row],[Kode Barang]],tblKatalog[],2)</f>
        <v>#N/A</v>
      </c>
      <c r="D491" s="26" t="e">
        <f>+VLOOKUP(tblKeluar[[#This Row],[Kode Barang]],tblKatalog[],3)</f>
        <v>#N/A</v>
      </c>
      <c r="E491" s="1"/>
      <c r="F491" s="23"/>
      <c r="G491" s="23"/>
    </row>
    <row r="492" spans="1:7" x14ac:dyDescent="0.25">
      <c r="A492" s="21"/>
      <c r="B492" s="1"/>
      <c r="C492" s="26" t="e">
        <f>+VLOOKUP(tblKeluar[[#This Row],[Kode Barang]],tblKatalog[],2)</f>
        <v>#N/A</v>
      </c>
      <c r="D492" s="26" t="e">
        <f>+VLOOKUP(tblKeluar[[#This Row],[Kode Barang]],tblKatalog[],3)</f>
        <v>#N/A</v>
      </c>
      <c r="E492" s="1"/>
      <c r="F492" s="23"/>
      <c r="G492" s="23"/>
    </row>
    <row r="493" spans="1:7" x14ac:dyDescent="0.25">
      <c r="A493" s="21"/>
      <c r="B493" s="42"/>
      <c r="C493" s="26" t="e">
        <f>+VLOOKUP(tblKeluar[[#This Row],[Kode Barang]],tblKatalog[],2)</f>
        <v>#N/A</v>
      </c>
      <c r="D493" s="26" t="e">
        <f>+VLOOKUP(tblKeluar[[#This Row],[Kode Barang]],tblKatalog[],3)</f>
        <v>#N/A</v>
      </c>
      <c r="E493" s="1"/>
      <c r="F493" s="23"/>
      <c r="G493" s="23"/>
    </row>
    <row r="494" spans="1:7" x14ac:dyDescent="0.25">
      <c r="A494" s="21"/>
      <c r="B494" s="42"/>
      <c r="C494" s="26" t="e">
        <f>+VLOOKUP(tblKeluar[[#This Row],[Kode Barang]],tblKatalog[],2)</f>
        <v>#N/A</v>
      </c>
      <c r="D494" s="26" t="e">
        <f>+VLOOKUP(tblKeluar[[#This Row],[Kode Barang]],tblKatalog[],3)</f>
        <v>#N/A</v>
      </c>
      <c r="E494" s="1"/>
      <c r="F494" s="23"/>
      <c r="G494" s="23"/>
    </row>
    <row r="495" spans="1:7" x14ac:dyDescent="0.25">
      <c r="A495" s="21"/>
      <c r="B495" s="42"/>
      <c r="C495" s="26" t="e">
        <f>+VLOOKUP(tblKeluar[[#This Row],[Kode Barang]],tblKatalog[],2)</f>
        <v>#N/A</v>
      </c>
      <c r="D495" s="26" t="e">
        <f>+VLOOKUP(tblKeluar[[#This Row],[Kode Barang]],tblKatalog[],3)</f>
        <v>#N/A</v>
      </c>
      <c r="E495" s="1"/>
      <c r="F495" s="23"/>
      <c r="G495" s="23"/>
    </row>
    <row r="496" spans="1:7" x14ac:dyDescent="0.25">
      <c r="A496" s="21"/>
      <c r="B496" s="42"/>
      <c r="C496" s="26" t="e">
        <f>+VLOOKUP(tblKeluar[[#This Row],[Kode Barang]],tblKatalog[],2)</f>
        <v>#N/A</v>
      </c>
      <c r="D496" s="26" t="e">
        <f>+VLOOKUP(tblKeluar[[#This Row],[Kode Barang]],tblKatalog[],3)</f>
        <v>#N/A</v>
      </c>
      <c r="E496" s="1"/>
      <c r="F496" s="23"/>
      <c r="G496" s="23"/>
    </row>
    <row r="497" spans="1:7" x14ac:dyDescent="0.25">
      <c r="A497" s="21"/>
      <c r="B497" s="42"/>
      <c r="C497" s="26" t="e">
        <f>+VLOOKUP(tblKeluar[[#This Row],[Kode Barang]],tblKatalog[],2)</f>
        <v>#N/A</v>
      </c>
      <c r="D497" s="26" t="e">
        <f>+VLOOKUP(tblKeluar[[#This Row],[Kode Barang]],tblKatalog[],3)</f>
        <v>#N/A</v>
      </c>
      <c r="E497" s="1"/>
      <c r="F497" s="23"/>
      <c r="G497" s="23"/>
    </row>
    <row r="498" spans="1:7" x14ac:dyDescent="0.25">
      <c r="A498" s="21"/>
      <c r="B498" s="42"/>
      <c r="C498" s="26" t="e">
        <f>+VLOOKUP(tblKeluar[[#This Row],[Kode Barang]],tblKatalog[],2)</f>
        <v>#N/A</v>
      </c>
      <c r="D498" s="26" t="e">
        <f>+VLOOKUP(tblKeluar[[#This Row],[Kode Barang]],tblKatalog[],3)</f>
        <v>#N/A</v>
      </c>
      <c r="E498" s="1"/>
      <c r="F498" s="23"/>
      <c r="G498" s="23"/>
    </row>
    <row r="499" spans="1:7" x14ac:dyDescent="0.25">
      <c r="A499" s="21"/>
      <c r="B499" s="42"/>
      <c r="C499" s="26" t="e">
        <f>+VLOOKUP(tblKeluar[[#This Row],[Kode Barang]],tblKatalog[],2)</f>
        <v>#N/A</v>
      </c>
      <c r="D499" s="26" t="e">
        <f>+VLOOKUP(tblKeluar[[#This Row],[Kode Barang]],tblKatalog[],3)</f>
        <v>#N/A</v>
      </c>
      <c r="E499" s="1"/>
      <c r="F499" s="23"/>
      <c r="G499" s="23"/>
    </row>
    <row r="500" spans="1:7" x14ac:dyDescent="0.25">
      <c r="A500" s="21"/>
      <c r="B500" s="42"/>
      <c r="C500" s="26" t="e">
        <f>+VLOOKUP(tblKeluar[[#This Row],[Kode Barang]],tblKatalog[],2)</f>
        <v>#N/A</v>
      </c>
      <c r="D500" s="26" t="e">
        <f>+VLOOKUP(tblKeluar[[#This Row],[Kode Barang]],tblKatalog[],3)</f>
        <v>#N/A</v>
      </c>
      <c r="E500" s="1"/>
      <c r="F500" s="23"/>
      <c r="G500" s="23"/>
    </row>
    <row r="501" spans="1:7" x14ac:dyDescent="0.25">
      <c r="A501" s="21"/>
      <c r="B501" s="42"/>
      <c r="C501" s="26" t="e">
        <f>+VLOOKUP(tblKeluar[[#This Row],[Kode Barang]],tblKatalog[],2)</f>
        <v>#N/A</v>
      </c>
      <c r="D501" s="26" t="e">
        <f>+VLOOKUP(tblKeluar[[#This Row],[Kode Barang]],tblKatalog[],3)</f>
        <v>#N/A</v>
      </c>
      <c r="E501" s="1"/>
      <c r="F501" s="23"/>
      <c r="G501" s="23"/>
    </row>
    <row r="502" spans="1:7" x14ac:dyDescent="0.25">
      <c r="A502" s="21"/>
      <c r="B502" s="42"/>
      <c r="C502" s="26" t="e">
        <f>+VLOOKUP(tblKeluar[[#This Row],[Kode Barang]],tblKatalog[],2)</f>
        <v>#N/A</v>
      </c>
      <c r="D502" s="26" t="e">
        <f>+VLOOKUP(tblKeluar[[#This Row],[Kode Barang]],tblKatalog[],3)</f>
        <v>#N/A</v>
      </c>
      <c r="E502" s="1"/>
      <c r="F502" s="23"/>
      <c r="G502" s="23"/>
    </row>
    <row r="503" spans="1:7" x14ac:dyDescent="0.25">
      <c r="A503" s="21"/>
      <c r="B503" s="1"/>
      <c r="C503" s="26" t="e">
        <f>+VLOOKUP(tblKeluar[[#This Row],[Kode Barang]],tblKatalog[],2)</f>
        <v>#N/A</v>
      </c>
      <c r="D503" s="26" t="e">
        <f>+VLOOKUP(tblKeluar[[#This Row],[Kode Barang]],tblKatalog[],3)</f>
        <v>#N/A</v>
      </c>
      <c r="E503" s="1"/>
      <c r="F503" s="23"/>
      <c r="G503" s="23"/>
    </row>
    <row r="504" spans="1:7" x14ac:dyDescent="0.25">
      <c r="A504" s="21"/>
      <c r="B504" s="42"/>
      <c r="C504" s="26" t="e">
        <f>+VLOOKUP(tblKeluar[[#This Row],[Kode Barang]],tblKatalog[],2)</f>
        <v>#N/A</v>
      </c>
      <c r="D504" s="26" t="e">
        <f>+VLOOKUP(tblKeluar[[#This Row],[Kode Barang]],tblKatalog[],3)</f>
        <v>#N/A</v>
      </c>
      <c r="E504" s="1"/>
      <c r="F504" s="23"/>
      <c r="G504" s="23"/>
    </row>
    <row r="505" spans="1:7" x14ac:dyDescent="0.25">
      <c r="A505" s="21"/>
      <c r="B505" s="42"/>
      <c r="C505" s="26" t="e">
        <f>+VLOOKUP(tblKeluar[[#This Row],[Kode Barang]],tblKatalog[],2)</f>
        <v>#N/A</v>
      </c>
      <c r="D505" s="26" t="e">
        <f>+VLOOKUP(tblKeluar[[#This Row],[Kode Barang]],tblKatalog[],3)</f>
        <v>#N/A</v>
      </c>
      <c r="E505" s="1"/>
      <c r="F505" s="23"/>
      <c r="G505" s="23"/>
    </row>
    <row r="506" spans="1:7" x14ac:dyDescent="0.25">
      <c r="A506" s="21"/>
      <c r="B506" s="42"/>
      <c r="C506" s="26" t="e">
        <f>+VLOOKUP(tblKeluar[[#This Row],[Kode Barang]],tblKatalog[],2)</f>
        <v>#N/A</v>
      </c>
      <c r="D506" s="26" t="e">
        <f>+VLOOKUP(tblKeluar[[#This Row],[Kode Barang]],tblKatalog[],3)</f>
        <v>#N/A</v>
      </c>
      <c r="E506" s="1"/>
      <c r="F506" s="23"/>
      <c r="G506" s="23"/>
    </row>
    <row r="507" spans="1:7" x14ac:dyDescent="0.25">
      <c r="A507" s="21"/>
      <c r="B507" s="42"/>
      <c r="C507" s="26" t="e">
        <f>+VLOOKUP(tblKeluar[[#This Row],[Kode Barang]],tblKatalog[],2)</f>
        <v>#N/A</v>
      </c>
      <c r="D507" s="26" t="e">
        <f>+VLOOKUP(tblKeluar[[#This Row],[Kode Barang]],tblKatalog[],3)</f>
        <v>#N/A</v>
      </c>
      <c r="E507" s="1"/>
      <c r="F507" s="23"/>
      <c r="G507" s="23"/>
    </row>
    <row r="508" spans="1:7" x14ac:dyDescent="0.25">
      <c r="A508" s="21"/>
      <c r="B508" s="42"/>
      <c r="C508" s="26" t="e">
        <f>+VLOOKUP(tblKeluar[[#This Row],[Kode Barang]],tblKatalog[],2)</f>
        <v>#N/A</v>
      </c>
      <c r="D508" s="26" t="e">
        <f>+VLOOKUP(tblKeluar[[#This Row],[Kode Barang]],tblKatalog[],3)</f>
        <v>#N/A</v>
      </c>
      <c r="E508" s="1"/>
      <c r="F508" s="23"/>
      <c r="G508" s="23"/>
    </row>
    <row r="509" spans="1:7" x14ac:dyDescent="0.25">
      <c r="A509" s="21"/>
      <c r="B509" s="1"/>
      <c r="C509" s="26" t="e">
        <f>+VLOOKUP(tblKeluar[[#This Row],[Kode Barang]],tblKatalog[],2)</f>
        <v>#N/A</v>
      </c>
      <c r="D509" s="26" t="e">
        <f>+VLOOKUP(tblKeluar[[#This Row],[Kode Barang]],tblKatalog[],3)</f>
        <v>#N/A</v>
      </c>
      <c r="E509" s="1"/>
      <c r="F509" s="23"/>
      <c r="G509" s="23"/>
    </row>
    <row r="510" spans="1:7" x14ac:dyDescent="0.25">
      <c r="A510" s="21"/>
      <c r="B510" s="1"/>
      <c r="C510" s="26" t="e">
        <f>+VLOOKUP(tblKeluar[[#This Row],[Kode Barang]],tblKatalog[],2)</f>
        <v>#N/A</v>
      </c>
      <c r="D510" s="26" t="e">
        <f>+VLOOKUP(tblKeluar[[#This Row],[Kode Barang]],tblKatalog[],3)</f>
        <v>#N/A</v>
      </c>
      <c r="E510" s="1"/>
      <c r="F510" s="23"/>
      <c r="G510" s="23"/>
    </row>
    <row r="511" spans="1:7" x14ac:dyDescent="0.25">
      <c r="A511" s="21"/>
      <c r="B511" s="1"/>
      <c r="C511" s="26" t="e">
        <f>+VLOOKUP(tblKeluar[[#This Row],[Kode Barang]],tblKatalog[],2)</f>
        <v>#N/A</v>
      </c>
      <c r="D511" s="26" t="e">
        <f>+VLOOKUP(tblKeluar[[#This Row],[Kode Barang]],tblKatalog[],3)</f>
        <v>#N/A</v>
      </c>
      <c r="E511" s="1"/>
      <c r="F511" s="23"/>
      <c r="G511" s="23"/>
    </row>
    <row r="512" spans="1:7" x14ac:dyDescent="0.25">
      <c r="A512" s="21"/>
      <c r="B512" s="1"/>
      <c r="C512" s="26" t="e">
        <f>+VLOOKUP(tblKeluar[[#This Row],[Kode Barang]],tblKatalog[],2)</f>
        <v>#N/A</v>
      </c>
      <c r="D512" s="26" t="e">
        <f>+VLOOKUP(tblKeluar[[#This Row],[Kode Barang]],tblKatalog[],3)</f>
        <v>#N/A</v>
      </c>
      <c r="E512" s="1"/>
      <c r="F512" s="23"/>
      <c r="G512" s="23"/>
    </row>
    <row r="513" spans="1:7" x14ac:dyDescent="0.25">
      <c r="A513" s="21"/>
      <c r="B513" s="1"/>
      <c r="C513" s="26" t="e">
        <f>+VLOOKUP(tblKeluar[[#This Row],[Kode Barang]],tblKatalog[],2)</f>
        <v>#N/A</v>
      </c>
      <c r="D513" s="26" t="e">
        <f>+VLOOKUP(tblKeluar[[#This Row],[Kode Barang]],tblKatalog[],3)</f>
        <v>#N/A</v>
      </c>
      <c r="E513" s="1"/>
      <c r="F513" s="23"/>
      <c r="G513" s="23"/>
    </row>
    <row r="514" spans="1:7" x14ac:dyDescent="0.25">
      <c r="A514" s="21"/>
      <c r="B514" s="1"/>
      <c r="C514" s="26" t="e">
        <f>+VLOOKUP(tblKeluar[[#This Row],[Kode Barang]],tblKatalog[],2)</f>
        <v>#N/A</v>
      </c>
      <c r="D514" s="26" t="e">
        <f>+VLOOKUP(tblKeluar[[#This Row],[Kode Barang]],tblKatalog[],3)</f>
        <v>#N/A</v>
      </c>
      <c r="E514" s="1"/>
      <c r="F514" s="23"/>
      <c r="G514" s="23"/>
    </row>
    <row r="515" spans="1:7" x14ac:dyDescent="0.25">
      <c r="A515" s="21"/>
      <c r="B515" s="1"/>
      <c r="C515" s="26" t="e">
        <f>+VLOOKUP(tblKeluar[[#This Row],[Kode Barang]],tblKatalog[],2)</f>
        <v>#N/A</v>
      </c>
      <c r="D515" s="26" t="e">
        <f>+VLOOKUP(tblKeluar[[#This Row],[Kode Barang]],tblKatalog[],3)</f>
        <v>#N/A</v>
      </c>
      <c r="E515" s="1"/>
      <c r="F515" s="23"/>
      <c r="G515" s="23"/>
    </row>
    <row r="516" spans="1:7" x14ac:dyDescent="0.25">
      <c r="A516" s="21"/>
      <c r="B516" s="1"/>
      <c r="C516" s="26" t="e">
        <f>+VLOOKUP(tblKeluar[[#This Row],[Kode Barang]],tblKatalog[],2)</f>
        <v>#N/A</v>
      </c>
      <c r="D516" s="26" t="e">
        <f>+VLOOKUP(tblKeluar[[#This Row],[Kode Barang]],tblKatalog[],3)</f>
        <v>#N/A</v>
      </c>
      <c r="E516" s="1"/>
      <c r="F516" s="23"/>
      <c r="G516" s="23"/>
    </row>
    <row r="517" spans="1:7" x14ac:dyDescent="0.25">
      <c r="A517" s="21"/>
      <c r="B517" s="1"/>
      <c r="C517" s="26" t="e">
        <f>+VLOOKUP(tblKeluar[[#This Row],[Kode Barang]],tblKatalog[],2)</f>
        <v>#N/A</v>
      </c>
      <c r="D517" s="26" t="e">
        <f>+VLOOKUP(tblKeluar[[#This Row],[Kode Barang]],tblKatalog[],3)</f>
        <v>#N/A</v>
      </c>
      <c r="E517" s="1"/>
      <c r="F517" s="23"/>
      <c r="G517" s="23"/>
    </row>
    <row r="518" spans="1:7" x14ac:dyDescent="0.25">
      <c r="A518" s="21"/>
      <c r="B518" s="1"/>
      <c r="C518" s="26" t="e">
        <f>+VLOOKUP(tblKeluar[[#This Row],[Kode Barang]],tblKatalog[],2)</f>
        <v>#N/A</v>
      </c>
      <c r="D518" s="26" t="e">
        <f>+VLOOKUP(tblKeluar[[#This Row],[Kode Barang]],tblKatalog[],3)</f>
        <v>#N/A</v>
      </c>
      <c r="E518" s="1"/>
      <c r="F518" s="23"/>
      <c r="G518" s="23"/>
    </row>
    <row r="519" spans="1:7" x14ac:dyDescent="0.25">
      <c r="A519" s="21"/>
      <c r="B519" s="42"/>
      <c r="C519" s="26" t="e">
        <f>+VLOOKUP(tblKeluar[[#This Row],[Kode Barang]],tblKatalog[],2)</f>
        <v>#N/A</v>
      </c>
      <c r="D519" s="26" t="e">
        <f>+VLOOKUP(tblKeluar[[#This Row],[Kode Barang]],tblKatalog[],3)</f>
        <v>#N/A</v>
      </c>
      <c r="E519" s="1"/>
      <c r="F519" s="23"/>
      <c r="G519" s="23"/>
    </row>
    <row r="520" spans="1:7" x14ac:dyDescent="0.25">
      <c r="A520" s="21"/>
      <c r="B520" s="1"/>
      <c r="C520" s="26" t="e">
        <f>+VLOOKUP(tblKeluar[[#This Row],[Kode Barang]],tblKatalog[],2)</f>
        <v>#N/A</v>
      </c>
      <c r="D520" s="26" t="e">
        <f>+VLOOKUP(tblKeluar[[#This Row],[Kode Barang]],tblKatalog[],3)</f>
        <v>#N/A</v>
      </c>
      <c r="E520" s="1"/>
      <c r="F520" s="23"/>
      <c r="G520" s="23"/>
    </row>
    <row r="521" spans="1:7" x14ac:dyDescent="0.25">
      <c r="A521" s="21"/>
      <c r="B521" s="1"/>
      <c r="C521" s="26" t="e">
        <f>+VLOOKUP(tblKeluar[[#This Row],[Kode Barang]],tblKatalog[],2)</f>
        <v>#N/A</v>
      </c>
      <c r="D521" s="26" t="e">
        <f>+VLOOKUP(tblKeluar[[#This Row],[Kode Barang]],tblKatalog[],3)</f>
        <v>#N/A</v>
      </c>
      <c r="E521" s="1"/>
      <c r="F521" s="23"/>
      <c r="G521" s="23"/>
    </row>
    <row r="522" spans="1:7" x14ac:dyDescent="0.25">
      <c r="A522" s="21"/>
      <c r="B522" s="1"/>
      <c r="C522" s="26" t="e">
        <f>+VLOOKUP(tblKeluar[[#This Row],[Kode Barang]],tblKatalog[],2)</f>
        <v>#N/A</v>
      </c>
      <c r="D522" s="26" t="e">
        <f>+VLOOKUP(tblKeluar[[#This Row],[Kode Barang]],tblKatalog[],3)</f>
        <v>#N/A</v>
      </c>
      <c r="E522" s="1"/>
      <c r="F522" s="23"/>
      <c r="G522" s="23"/>
    </row>
    <row r="523" spans="1:7" x14ac:dyDescent="0.25">
      <c r="A523" s="21"/>
      <c r="B523" s="1"/>
      <c r="C523" s="26" t="e">
        <f>+VLOOKUP(tblKeluar[[#This Row],[Kode Barang]],tblKatalog[],2)</f>
        <v>#N/A</v>
      </c>
      <c r="D523" s="26" t="e">
        <f>+VLOOKUP(tblKeluar[[#This Row],[Kode Barang]],tblKatalog[],3)</f>
        <v>#N/A</v>
      </c>
      <c r="E523" s="1"/>
      <c r="F523" s="23"/>
      <c r="G523" s="23"/>
    </row>
    <row r="524" spans="1:7" x14ac:dyDescent="0.25">
      <c r="A524" s="21"/>
      <c r="B524" s="1"/>
      <c r="C524" s="26" t="e">
        <f>+VLOOKUP(tblKeluar[[#This Row],[Kode Barang]],tblKatalog[],2)</f>
        <v>#N/A</v>
      </c>
      <c r="D524" s="26" t="e">
        <f>+VLOOKUP(tblKeluar[[#This Row],[Kode Barang]],tblKatalog[],3)</f>
        <v>#N/A</v>
      </c>
      <c r="E524" s="1"/>
      <c r="F524" s="23"/>
      <c r="G524" s="23"/>
    </row>
    <row r="525" spans="1:7" x14ac:dyDescent="0.25">
      <c r="A525" s="21"/>
      <c r="B525" s="1"/>
      <c r="C525" s="26" t="e">
        <f>+VLOOKUP(tblKeluar[[#This Row],[Kode Barang]],tblKatalog[],2)</f>
        <v>#N/A</v>
      </c>
      <c r="D525" s="26" t="e">
        <f>+VLOOKUP(tblKeluar[[#This Row],[Kode Barang]],tblKatalog[],3)</f>
        <v>#N/A</v>
      </c>
      <c r="E525" s="1"/>
      <c r="F525" s="23"/>
      <c r="G525" s="23"/>
    </row>
    <row r="526" spans="1:7" x14ac:dyDescent="0.25">
      <c r="A526" s="21"/>
      <c r="B526" s="1"/>
      <c r="C526" s="26" t="e">
        <f>+VLOOKUP(tblKeluar[[#This Row],[Kode Barang]],tblKatalog[],2)</f>
        <v>#N/A</v>
      </c>
      <c r="D526" s="26" t="e">
        <f>+VLOOKUP(tblKeluar[[#This Row],[Kode Barang]],tblKatalog[],3)</f>
        <v>#N/A</v>
      </c>
      <c r="E526" s="1"/>
      <c r="F526" s="23"/>
      <c r="G526" s="23"/>
    </row>
    <row r="527" spans="1:7" x14ac:dyDescent="0.25">
      <c r="A527" s="21"/>
      <c r="B527" s="1"/>
      <c r="C527" s="26" t="e">
        <f>+VLOOKUP(tblKeluar[[#This Row],[Kode Barang]],tblKatalog[],2)</f>
        <v>#N/A</v>
      </c>
      <c r="D527" s="26" t="e">
        <f>+VLOOKUP(tblKeluar[[#This Row],[Kode Barang]],tblKatalog[],3)</f>
        <v>#N/A</v>
      </c>
      <c r="E527" s="1"/>
      <c r="F527" s="23"/>
      <c r="G527" s="23"/>
    </row>
    <row r="528" spans="1:7" x14ac:dyDescent="0.25">
      <c r="A528" s="21"/>
      <c r="B528" s="1"/>
      <c r="C528" s="26" t="e">
        <f>+VLOOKUP(tblKeluar[[#This Row],[Kode Barang]],tblKatalog[],2)</f>
        <v>#N/A</v>
      </c>
      <c r="D528" s="26" t="e">
        <f>+VLOOKUP(tblKeluar[[#This Row],[Kode Barang]],tblKatalog[],3)</f>
        <v>#N/A</v>
      </c>
      <c r="E528" s="1"/>
      <c r="F528" s="23"/>
      <c r="G528" s="23"/>
    </row>
    <row r="529" spans="1:7" x14ac:dyDescent="0.25">
      <c r="A529" s="21"/>
      <c r="B529" s="1"/>
      <c r="C529" s="26" t="e">
        <f>+VLOOKUP(tblKeluar[[#This Row],[Kode Barang]],tblKatalog[],2)</f>
        <v>#N/A</v>
      </c>
      <c r="D529" s="26" t="e">
        <f>+VLOOKUP(tblKeluar[[#This Row],[Kode Barang]],tblKatalog[],3)</f>
        <v>#N/A</v>
      </c>
      <c r="E529" s="1"/>
      <c r="F529" s="23"/>
      <c r="G529" s="23"/>
    </row>
    <row r="530" spans="1:7" x14ac:dyDescent="0.25">
      <c r="A530" s="21"/>
      <c r="B530" s="1"/>
      <c r="C530" s="26" t="e">
        <f>+VLOOKUP(tblKeluar[[#This Row],[Kode Barang]],tblKatalog[],2)</f>
        <v>#N/A</v>
      </c>
      <c r="D530" s="26" t="e">
        <f>+VLOOKUP(tblKeluar[[#This Row],[Kode Barang]],tblKatalog[],3)</f>
        <v>#N/A</v>
      </c>
      <c r="E530" s="1"/>
      <c r="F530" s="23"/>
      <c r="G530" s="23"/>
    </row>
    <row r="531" spans="1:7" x14ac:dyDescent="0.25">
      <c r="A531" s="21"/>
      <c r="B531" s="1"/>
      <c r="C531" s="26" t="e">
        <f>+VLOOKUP(tblKeluar[[#This Row],[Kode Barang]],tblKatalog[],2)</f>
        <v>#N/A</v>
      </c>
      <c r="D531" s="26" t="e">
        <f>+VLOOKUP(tblKeluar[[#This Row],[Kode Barang]],tblKatalog[],3)</f>
        <v>#N/A</v>
      </c>
      <c r="E531" s="1"/>
      <c r="F531" s="23"/>
      <c r="G531" s="23"/>
    </row>
    <row r="532" spans="1:7" x14ac:dyDescent="0.25">
      <c r="A532" s="21"/>
      <c r="B532" s="1"/>
      <c r="C532" s="26" t="e">
        <f>+VLOOKUP(tblKeluar[[#This Row],[Kode Barang]],tblKatalog[],2)</f>
        <v>#N/A</v>
      </c>
      <c r="D532" s="26" t="e">
        <f>+VLOOKUP(tblKeluar[[#This Row],[Kode Barang]],tblKatalog[],3)</f>
        <v>#N/A</v>
      </c>
      <c r="E532" s="1"/>
      <c r="F532" s="23"/>
      <c r="G532" s="23"/>
    </row>
    <row r="533" spans="1:7" x14ac:dyDescent="0.25">
      <c r="A533" s="21"/>
      <c r="B533" s="1"/>
      <c r="C533" s="26" t="e">
        <f>+VLOOKUP(tblKeluar[[#This Row],[Kode Barang]],tblKatalog[],2)</f>
        <v>#N/A</v>
      </c>
      <c r="D533" s="26" t="e">
        <f>+VLOOKUP(tblKeluar[[#This Row],[Kode Barang]],tblKatalog[],3)</f>
        <v>#N/A</v>
      </c>
      <c r="E533" s="1"/>
      <c r="F533" s="23"/>
      <c r="G533" s="23"/>
    </row>
    <row r="534" spans="1:7" x14ac:dyDescent="0.25">
      <c r="A534" s="21"/>
      <c r="B534" s="1"/>
      <c r="C534" s="26" t="e">
        <f>+VLOOKUP(tblKeluar[[#This Row],[Kode Barang]],tblKatalog[],2)</f>
        <v>#N/A</v>
      </c>
      <c r="D534" s="26" t="e">
        <f>+VLOOKUP(tblKeluar[[#This Row],[Kode Barang]],tblKatalog[],3)</f>
        <v>#N/A</v>
      </c>
      <c r="E534" s="1"/>
      <c r="F534" s="23"/>
      <c r="G534" s="23"/>
    </row>
    <row r="535" spans="1:7" x14ac:dyDescent="0.25">
      <c r="A535" s="21"/>
      <c r="B535" s="1"/>
      <c r="C535" s="26" t="e">
        <f>+VLOOKUP(tblKeluar[[#This Row],[Kode Barang]],tblKatalog[],2)</f>
        <v>#N/A</v>
      </c>
      <c r="D535" s="26" t="e">
        <f>+VLOOKUP(tblKeluar[[#This Row],[Kode Barang]],tblKatalog[],3)</f>
        <v>#N/A</v>
      </c>
      <c r="E535" s="1"/>
      <c r="F535" s="23"/>
      <c r="G535" s="23"/>
    </row>
    <row r="536" spans="1:7" x14ac:dyDescent="0.25">
      <c r="A536" s="21"/>
      <c r="B536" s="1"/>
      <c r="C536" s="26" t="e">
        <f>+VLOOKUP(tblKeluar[[#This Row],[Kode Barang]],tblKatalog[],2)</f>
        <v>#N/A</v>
      </c>
      <c r="D536" s="26" t="e">
        <f>+VLOOKUP(tblKeluar[[#This Row],[Kode Barang]],tblKatalog[],3)</f>
        <v>#N/A</v>
      </c>
      <c r="E536" s="1"/>
      <c r="F536" s="23"/>
      <c r="G536" s="23"/>
    </row>
    <row r="537" spans="1:7" x14ac:dyDescent="0.25">
      <c r="A537" s="21"/>
      <c r="B537" s="1"/>
      <c r="C537" s="26" t="e">
        <f>+VLOOKUP(tblKeluar[[#This Row],[Kode Barang]],tblKatalog[],2)</f>
        <v>#N/A</v>
      </c>
      <c r="D537" s="26" t="e">
        <f>+VLOOKUP(tblKeluar[[#This Row],[Kode Barang]],tblKatalog[],3)</f>
        <v>#N/A</v>
      </c>
      <c r="E537" s="1"/>
      <c r="F537" s="23"/>
      <c r="G537" s="23"/>
    </row>
    <row r="538" spans="1:7" x14ac:dyDescent="0.25">
      <c r="A538" s="21"/>
      <c r="B538" s="1"/>
      <c r="C538" s="26" t="e">
        <f>+VLOOKUP(tblKeluar[[#This Row],[Kode Barang]],tblKatalog[],2)</f>
        <v>#N/A</v>
      </c>
      <c r="D538" s="26" t="e">
        <f>+VLOOKUP(tblKeluar[[#This Row],[Kode Barang]],tblKatalog[],3)</f>
        <v>#N/A</v>
      </c>
      <c r="E538" s="1"/>
      <c r="F538" s="23"/>
      <c r="G538" s="23"/>
    </row>
    <row r="539" spans="1:7" x14ac:dyDescent="0.25">
      <c r="A539" s="21"/>
      <c r="B539" s="1"/>
      <c r="C539" s="26" t="e">
        <f>+VLOOKUP(tblKeluar[[#This Row],[Kode Barang]],tblKatalog[],2)</f>
        <v>#N/A</v>
      </c>
      <c r="D539" s="26" t="e">
        <f>+VLOOKUP(tblKeluar[[#This Row],[Kode Barang]],tblKatalog[],3)</f>
        <v>#N/A</v>
      </c>
      <c r="E539" s="1"/>
      <c r="F539" s="23"/>
      <c r="G539" s="23"/>
    </row>
    <row r="540" spans="1:7" x14ac:dyDescent="0.25">
      <c r="A540" s="21"/>
      <c r="B540" s="1"/>
      <c r="C540" s="26" t="e">
        <f>+VLOOKUP(tblKeluar[[#This Row],[Kode Barang]],tblKatalog[],2)</f>
        <v>#N/A</v>
      </c>
      <c r="D540" s="26" t="e">
        <f>+VLOOKUP(tblKeluar[[#This Row],[Kode Barang]],tblKatalog[],3)</f>
        <v>#N/A</v>
      </c>
      <c r="E540" s="1"/>
      <c r="F540" s="23"/>
      <c r="G540" s="23"/>
    </row>
    <row r="541" spans="1:7" x14ac:dyDescent="0.25">
      <c r="A541" s="21"/>
      <c r="B541" s="1"/>
      <c r="C541" s="26" t="e">
        <f>+VLOOKUP(tblKeluar[[#This Row],[Kode Barang]],tblKatalog[],2)</f>
        <v>#N/A</v>
      </c>
      <c r="D541" s="26" t="e">
        <f>+VLOOKUP(tblKeluar[[#This Row],[Kode Barang]],tblKatalog[],3)</f>
        <v>#N/A</v>
      </c>
      <c r="E541" s="1"/>
      <c r="F541" s="23"/>
      <c r="G541" s="23"/>
    </row>
    <row r="542" spans="1:7" x14ac:dyDescent="0.25">
      <c r="A542" s="21"/>
      <c r="B542" s="1"/>
      <c r="C542" s="26" t="e">
        <f>+VLOOKUP(tblKeluar[[#This Row],[Kode Barang]],tblKatalog[],2)</f>
        <v>#N/A</v>
      </c>
      <c r="D542" s="26" t="e">
        <f>+VLOOKUP(tblKeluar[[#This Row],[Kode Barang]],tblKatalog[],3)</f>
        <v>#N/A</v>
      </c>
      <c r="E542" s="1"/>
      <c r="F542" s="23"/>
      <c r="G542" s="23"/>
    </row>
    <row r="543" spans="1:7" x14ac:dyDescent="0.25">
      <c r="A543" s="21"/>
      <c r="B543" s="1"/>
      <c r="C543" s="26" t="e">
        <f>+VLOOKUP(tblKeluar[[#This Row],[Kode Barang]],tblKatalog[],2)</f>
        <v>#N/A</v>
      </c>
      <c r="D543" s="26" t="e">
        <f>+VLOOKUP(tblKeluar[[#This Row],[Kode Barang]],tblKatalog[],3)</f>
        <v>#N/A</v>
      </c>
      <c r="E543" s="1"/>
      <c r="F543" s="23"/>
      <c r="G543" s="23"/>
    </row>
    <row r="544" spans="1:7" x14ac:dyDescent="0.25">
      <c r="A544" s="21"/>
      <c r="B544" s="1"/>
      <c r="C544" s="26" t="e">
        <f>+VLOOKUP(tblKeluar[[#This Row],[Kode Barang]],tblKatalog[],2)</f>
        <v>#N/A</v>
      </c>
      <c r="D544" s="26" t="e">
        <f>+VLOOKUP(tblKeluar[[#This Row],[Kode Barang]],tblKatalog[],3)</f>
        <v>#N/A</v>
      </c>
      <c r="E544" s="1"/>
      <c r="F544" s="23"/>
      <c r="G544" s="23"/>
    </row>
    <row r="545" spans="1:7" x14ac:dyDescent="0.25">
      <c r="A545" s="21"/>
      <c r="B545" s="1"/>
      <c r="C545" s="26" t="e">
        <f>+VLOOKUP(tblKeluar[[#This Row],[Kode Barang]],tblKatalog[],2)</f>
        <v>#N/A</v>
      </c>
      <c r="D545" s="26" t="e">
        <f>+VLOOKUP(tblKeluar[[#This Row],[Kode Barang]],tblKatalog[],3)</f>
        <v>#N/A</v>
      </c>
      <c r="E545" s="1"/>
      <c r="F545" s="23"/>
      <c r="G545" s="23"/>
    </row>
    <row r="546" spans="1:7" x14ac:dyDescent="0.25">
      <c r="A546" s="21"/>
      <c r="B546" s="1"/>
      <c r="C546" s="26" t="e">
        <f>+VLOOKUP(tblKeluar[[#This Row],[Kode Barang]],tblKatalog[],2)</f>
        <v>#N/A</v>
      </c>
      <c r="D546" s="26" t="e">
        <f>+VLOOKUP(tblKeluar[[#This Row],[Kode Barang]],tblKatalog[],3)</f>
        <v>#N/A</v>
      </c>
      <c r="E546" s="1"/>
      <c r="F546" s="23"/>
      <c r="G546" s="23"/>
    </row>
    <row r="547" spans="1:7" x14ac:dyDescent="0.25">
      <c r="A547" s="21"/>
      <c r="B547" s="1"/>
      <c r="C547" s="26" t="e">
        <f>+VLOOKUP(tblKeluar[[#This Row],[Kode Barang]],tblKatalog[],2)</f>
        <v>#N/A</v>
      </c>
      <c r="D547" s="26" t="e">
        <f>+VLOOKUP(tblKeluar[[#This Row],[Kode Barang]],tblKatalog[],3)</f>
        <v>#N/A</v>
      </c>
      <c r="E547" s="1"/>
      <c r="F547" s="23"/>
      <c r="G547" s="23"/>
    </row>
    <row r="548" spans="1:7" x14ac:dyDescent="0.25">
      <c r="A548" s="21"/>
      <c r="B548" s="1"/>
      <c r="C548" s="26" t="e">
        <f>+VLOOKUP(tblKeluar[[#This Row],[Kode Barang]],tblKatalog[],2)</f>
        <v>#N/A</v>
      </c>
      <c r="D548" s="26" t="e">
        <f>+VLOOKUP(tblKeluar[[#This Row],[Kode Barang]],tblKatalog[],3)</f>
        <v>#N/A</v>
      </c>
      <c r="E548" s="1"/>
      <c r="F548" s="23"/>
      <c r="G548" s="23"/>
    </row>
    <row r="549" spans="1:7" x14ac:dyDescent="0.25">
      <c r="A549" s="21"/>
      <c r="B549" s="1"/>
      <c r="C549" s="26" t="e">
        <f>+VLOOKUP(tblKeluar[[#This Row],[Kode Barang]],tblKatalog[],2)</f>
        <v>#N/A</v>
      </c>
      <c r="D549" s="26" t="e">
        <f>+VLOOKUP(tblKeluar[[#This Row],[Kode Barang]],tblKatalog[],3)</f>
        <v>#N/A</v>
      </c>
      <c r="E549" s="1"/>
      <c r="F549" s="23"/>
      <c r="G549" s="23"/>
    </row>
    <row r="550" spans="1:7" x14ac:dyDescent="0.25">
      <c r="A550" s="21"/>
      <c r="B550" s="1"/>
      <c r="C550" s="26" t="e">
        <f>+VLOOKUP(tblKeluar[[#This Row],[Kode Barang]],tblKatalog[],2)</f>
        <v>#N/A</v>
      </c>
      <c r="D550" s="26" t="e">
        <f>+VLOOKUP(tblKeluar[[#This Row],[Kode Barang]],tblKatalog[],3)</f>
        <v>#N/A</v>
      </c>
      <c r="E550" s="1"/>
      <c r="F550" s="27"/>
      <c r="G550" s="27"/>
    </row>
    <row r="551" spans="1:7" x14ac:dyDescent="0.25">
      <c r="A551" s="21"/>
      <c r="B551" s="1"/>
      <c r="C551" s="26" t="e">
        <f>+VLOOKUP(tblKeluar[[#This Row],[Kode Barang]],tblKatalog[],2)</f>
        <v>#N/A</v>
      </c>
      <c r="D551" s="26" t="e">
        <f>+VLOOKUP(tblKeluar[[#This Row],[Kode Barang]],tblKatalog[],3)</f>
        <v>#N/A</v>
      </c>
      <c r="E551" s="1"/>
      <c r="F551" s="27"/>
      <c r="G551" s="27"/>
    </row>
    <row r="552" spans="1:7" x14ac:dyDescent="0.25">
      <c r="A552" s="21"/>
      <c r="B552" s="1"/>
      <c r="C552" s="26" t="e">
        <f>+VLOOKUP(tblKeluar[[#This Row],[Kode Barang]],tblKatalog[],2)</f>
        <v>#N/A</v>
      </c>
      <c r="D552" s="26" t="e">
        <f>+VLOOKUP(tblKeluar[[#This Row],[Kode Barang]],tblKatalog[],3)</f>
        <v>#N/A</v>
      </c>
      <c r="E552" s="1"/>
      <c r="F552" s="27"/>
      <c r="G552" s="27"/>
    </row>
    <row r="553" spans="1:7" x14ac:dyDescent="0.25">
      <c r="A553" s="21"/>
      <c r="B553" s="1"/>
      <c r="C553" s="26" t="e">
        <f>+VLOOKUP(tblKeluar[[#This Row],[Kode Barang]],tblKatalog[],2)</f>
        <v>#N/A</v>
      </c>
      <c r="D553" s="26" t="e">
        <f>+VLOOKUP(tblKeluar[[#This Row],[Kode Barang]],tblKatalog[],3)</f>
        <v>#N/A</v>
      </c>
      <c r="E553" s="1"/>
      <c r="F553" s="27"/>
      <c r="G553" s="27"/>
    </row>
    <row r="554" spans="1:7" x14ac:dyDescent="0.25">
      <c r="A554" s="21"/>
      <c r="B554" s="1"/>
      <c r="C554" s="13" t="e">
        <f>+VLOOKUP(tblKeluar[[#This Row],[Kode Barang]],tblKatalog[],2)</f>
        <v>#N/A</v>
      </c>
      <c r="D554" s="13" t="e">
        <f>+VLOOKUP(tblKeluar[[#This Row],[Kode Barang]],tblKatalog[],3)</f>
        <v>#N/A</v>
      </c>
      <c r="E554" s="1"/>
      <c r="F554" s="23"/>
      <c r="G554" s="23"/>
    </row>
    <row r="555" spans="1:7" x14ac:dyDescent="0.25">
      <c r="A555" s="21"/>
      <c r="B555" s="1"/>
      <c r="C555" s="13" t="e">
        <f>+VLOOKUP(tblKeluar[[#This Row],[Kode Barang]],tblKatalog[],2)</f>
        <v>#N/A</v>
      </c>
      <c r="D555" s="13" t="e">
        <f>+VLOOKUP(tblKeluar[[#This Row],[Kode Barang]],tblKatalog[],3)</f>
        <v>#N/A</v>
      </c>
      <c r="E555" s="1"/>
      <c r="F555" s="23"/>
      <c r="G555" s="23"/>
    </row>
    <row r="556" spans="1:7" x14ac:dyDescent="0.25">
      <c r="A556" s="21"/>
      <c r="B556" s="1"/>
      <c r="C556" s="13" t="e">
        <f>+VLOOKUP(tblKeluar[[#This Row],[Kode Barang]],tblKatalog[],2)</f>
        <v>#N/A</v>
      </c>
      <c r="D556" s="13" t="e">
        <f>+VLOOKUP(tblKeluar[[#This Row],[Kode Barang]],tblKatalog[],3)</f>
        <v>#N/A</v>
      </c>
      <c r="E556" s="1"/>
      <c r="F556" s="23"/>
      <c r="G556" s="23"/>
    </row>
    <row r="557" spans="1:7" x14ac:dyDescent="0.25">
      <c r="A557" s="21"/>
      <c r="B557" s="1"/>
      <c r="C557" s="26" t="e">
        <f>+VLOOKUP(tblKeluar[[#This Row],[Kode Barang]],tblKatalog[],2)</f>
        <v>#N/A</v>
      </c>
      <c r="D557" s="26" t="e">
        <f>+VLOOKUP(tblKeluar[[#This Row],[Kode Barang]],tblKatalog[],3)</f>
        <v>#N/A</v>
      </c>
      <c r="E557" s="1"/>
      <c r="F557" s="27"/>
      <c r="G557" s="27"/>
    </row>
    <row r="558" spans="1:7" x14ac:dyDescent="0.25">
      <c r="A558" s="21"/>
      <c r="B558" s="1"/>
      <c r="C558" s="26" t="e">
        <f>+VLOOKUP(tblKeluar[[#This Row],[Kode Barang]],tblKatalog[],2)</f>
        <v>#N/A</v>
      </c>
      <c r="D558" s="26" t="e">
        <f>+VLOOKUP(tblKeluar[[#This Row],[Kode Barang]],tblKatalog[],3)</f>
        <v>#N/A</v>
      </c>
      <c r="E558" s="1"/>
      <c r="F558" s="27"/>
      <c r="G558" s="27"/>
    </row>
    <row r="559" spans="1:7" x14ac:dyDescent="0.25">
      <c r="A559" s="21"/>
      <c r="B559" s="1"/>
      <c r="C559" s="26" t="e">
        <f>+VLOOKUP(tblKeluar[[#This Row],[Kode Barang]],tblKatalog[],2)</f>
        <v>#N/A</v>
      </c>
      <c r="D559" s="26" t="e">
        <f>+VLOOKUP(tblKeluar[[#This Row],[Kode Barang]],tblKatalog[],3)</f>
        <v>#N/A</v>
      </c>
      <c r="E559" s="1"/>
      <c r="F559" s="27"/>
      <c r="G559" s="27"/>
    </row>
    <row r="560" spans="1:7" x14ac:dyDescent="0.25">
      <c r="A560" s="21"/>
      <c r="B560" s="1"/>
      <c r="C560" s="13" t="e">
        <f>+VLOOKUP(tblKeluar[[#This Row],[Kode Barang]],tblKatalog[],2)</f>
        <v>#N/A</v>
      </c>
      <c r="D560" s="13" t="e">
        <f>+VLOOKUP(tblKeluar[[#This Row],[Kode Barang]],tblKatalog[],3)</f>
        <v>#N/A</v>
      </c>
      <c r="E560" s="1"/>
      <c r="F560" s="23"/>
      <c r="G560" s="23"/>
    </row>
    <row r="561" spans="1:7" x14ac:dyDescent="0.25">
      <c r="A561" s="21"/>
      <c r="B561" s="1"/>
      <c r="C561" s="13" t="e">
        <f>+VLOOKUP(tblKeluar[[#This Row],[Kode Barang]],tblKatalog[],2)</f>
        <v>#N/A</v>
      </c>
      <c r="D561" s="13" t="e">
        <f>+VLOOKUP(tblKeluar[[#This Row],[Kode Barang]],tblKatalog[],3)</f>
        <v>#N/A</v>
      </c>
      <c r="E561" s="1"/>
      <c r="F561" s="23"/>
      <c r="G561" s="23"/>
    </row>
    <row r="562" spans="1:7" x14ac:dyDescent="0.25">
      <c r="A562" s="21"/>
      <c r="B562" s="1"/>
      <c r="C562" s="26" t="e">
        <f>+VLOOKUP(tblKeluar[[#This Row],[Kode Barang]],tblKatalog[],2)</f>
        <v>#N/A</v>
      </c>
      <c r="D562" s="26" t="e">
        <f>+VLOOKUP(tblKeluar[[#This Row],[Kode Barang]],tblKatalog[],3)</f>
        <v>#N/A</v>
      </c>
      <c r="E562" s="1"/>
      <c r="F562" s="27"/>
      <c r="G562" s="27"/>
    </row>
    <row r="563" spans="1:7" x14ac:dyDescent="0.25">
      <c r="A563" s="21"/>
      <c r="B563" s="1"/>
      <c r="C563" s="26" t="e">
        <f>+VLOOKUP(tblKeluar[[#This Row],[Kode Barang]],tblKatalog[],2)</f>
        <v>#N/A</v>
      </c>
      <c r="D563" s="26" t="e">
        <f>+VLOOKUP(tblKeluar[[#This Row],[Kode Barang]],tblKatalog[],3)</f>
        <v>#N/A</v>
      </c>
      <c r="E563" s="1"/>
      <c r="F563" s="27"/>
      <c r="G563" s="27"/>
    </row>
    <row r="564" spans="1:7" x14ac:dyDescent="0.25">
      <c r="A564" s="21"/>
      <c r="B564" s="1"/>
      <c r="C564" s="26" t="e">
        <f>+VLOOKUP(tblKeluar[[#This Row],[Kode Barang]],tblKatalog[],2)</f>
        <v>#N/A</v>
      </c>
      <c r="D564" s="26" t="e">
        <f>+VLOOKUP(tblKeluar[[#This Row],[Kode Barang]],tblKatalog[],3)</f>
        <v>#N/A</v>
      </c>
      <c r="E564" s="1"/>
      <c r="F564" s="27"/>
      <c r="G564" s="27"/>
    </row>
    <row r="565" spans="1:7" x14ac:dyDescent="0.25">
      <c r="A565" s="21"/>
      <c r="B565" s="1"/>
      <c r="C565" s="26" t="e">
        <f>+VLOOKUP(tblKeluar[[#This Row],[Kode Barang]],tblKatalog[],2)</f>
        <v>#N/A</v>
      </c>
      <c r="D565" s="26" t="e">
        <f>+VLOOKUP(tblKeluar[[#This Row],[Kode Barang]],tblKatalog[],3)</f>
        <v>#N/A</v>
      </c>
      <c r="E565" s="1"/>
      <c r="F565" s="27"/>
      <c r="G565" s="27"/>
    </row>
    <row r="566" spans="1:7" x14ac:dyDescent="0.25">
      <c r="A566" s="21"/>
      <c r="B566" s="1"/>
      <c r="C566" s="26" t="e">
        <f>+VLOOKUP(tblKeluar[[#This Row],[Kode Barang]],tblKatalog[],2)</f>
        <v>#N/A</v>
      </c>
      <c r="D566" s="26" t="e">
        <f>+VLOOKUP(tblKeluar[[#This Row],[Kode Barang]],tblKatalog[],3)</f>
        <v>#N/A</v>
      </c>
      <c r="E566" s="1"/>
      <c r="F566" s="27"/>
      <c r="G566" s="27"/>
    </row>
    <row r="567" spans="1:7" x14ac:dyDescent="0.25">
      <c r="A567" s="21"/>
      <c r="B567" s="1"/>
      <c r="C567" s="13" t="e">
        <f>+VLOOKUP(tblKeluar[[#This Row],[Kode Barang]],tblKatalog[],2)</f>
        <v>#N/A</v>
      </c>
      <c r="D567" s="13" t="e">
        <f>+VLOOKUP(tblKeluar[[#This Row],[Kode Barang]],tblKatalog[],3)</f>
        <v>#N/A</v>
      </c>
      <c r="E567" s="1"/>
      <c r="F567" s="23"/>
      <c r="G567" s="23"/>
    </row>
    <row r="568" spans="1:7" x14ac:dyDescent="0.25">
      <c r="A568" s="21"/>
      <c r="B568" s="1"/>
      <c r="C568" s="13" t="e">
        <f>+VLOOKUP(tblKeluar[[#This Row],[Kode Barang]],tblKatalog[],2)</f>
        <v>#N/A</v>
      </c>
      <c r="D568" s="13" t="e">
        <f>+VLOOKUP(tblKeluar[[#This Row],[Kode Barang]],tblKatalog[],3)</f>
        <v>#N/A</v>
      </c>
      <c r="E568" s="1"/>
      <c r="F568" s="23"/>
      <c r="G568" s="23"/>
    </row>
    <row r="569" spans="1:7" x14ac:dyDescent="0.25">
      <c r="A569" s="21"/>
      <c r="B569" s="1"/>
      <c r="C569" s="13" t="e">
        <f>+VLOOKUP(tblKeluar[[#This Row],[Kode Barang]],tblKatalog[],2)</f>
        <v>#N/A</v>
      </c>
      <c r="D569" s="13" t="e">
        <f>+VLOOKUP(tblKeluar[[#This Row],[Kode Barang]],tblKatalog[],3)</f>
        <v>#N/A</v>
      </c>
      <c r="E569" s="1"/>
      <c r="F569" s="23"/>
      <c r="G569" s="23"/>
    </row>
    <row r="570" spans="1:7" x14ac:dyDescent="0.25">
      <c r="A570" s="21"/>
      <c r="B570" s="1"/>
      <c r="C570" s="26" t="e">
        <f>+VLOOKUP(tblKeluar[[#This Row],[Kode Barang]],tblKatalog[],2)</f>
        <v>#N/A</v>
      </c>
      <c r="D570" s="26" t="e">
        <f>+VLOOKUP(tblKeluar[[#This Row],[Kode Barang]],tblKatalog[],3)</f>
        <v>#N/A</v>
      </c>
      <c r="E570" s="1"/>
      <c r="F570" s="27"/>
      <c r="G570" s="27"/>
    </row>
    <row r="571" spans="1:7" x14ac:dyDescent="0.25">
      <c r="A571" s="21"/>
      <c r="B571" s="1"/>
      <c r="C571" s="26" t="e">
        <f>+VLOOKUP(tblKeluar[[#This Row],[Kode Barang]],tblKatalog[],2)</f>
        <v>#N/A</v>
      </c>
      <c r="D571" s="26" t="e">
        <f>+VLOOKUP(tblKeluar[[#This Row],[Kode Barang]],tblKatalog[],3)</f>
        <v>#N/A</v>
      </c>
      <c r="E571" s="1"/>
      <c r="F571" s="27"/>
      <c r="G571" s="27"/>
    </row>
    <row r="572" spans="1:7" x14ac:dyDescent="0.25">
      <c r="A572" s="21"/>
      <c r="B572" s="1"/>
      <c r="C572" s="26" t="e">
        <f>+VLOOKUP(tblKeluar[[#This Row],[Kode Barang]],tblKatalog[],2)</f>
        <v>#N/A</v>
      </c>
      <c r="D572" s="26" t="e">
        <f>+VLOOKUP(tblKeluar[[#This Row],[Kode Barang]],tblKatalog[],3)</f>
        <v>#N/A</v>
      </c>
      <c r="E572" s="1"/>
      <c r="F572" s="27"/>
      <c r="G572" s="27"/>
    </row>
    <row r="573" spans="1:7" x14ac:dyDescent="0.25">
      <c r="A573" s="21"/>
      <c r="B573" s="1"/>
      <c r="C573" s="26" t="e">
        <f>+VLOOKUP(tblKeluar[[#This Row],[Kode Barang]],tblKatalog[],2)</f>
        <v>#N/A</v>
      </c>
      <c r="D573" s="26" t="e">
        <f>+VLOOKUP(tblKeluar[[#This Row],[Kode Barang]],tblKatalog[],3)</f>
        <v>#N/A</v>
      </c>
      <c r="E573" s="1"/>
      <c r="F573" s="27"/>
      <c r="G573" s="27"/>
    </row>
    <row r="574" spans="1:7" x14ac:dyDescent="0.25">
      <c r="A574" s="21"/>
      <c r="B574" s="1"/>
      <c r="C574" s="26" t="e">
        <f>+VLOOKUP(tblKeluar[[#This Row],[Kode Barang]],tblKatalog[],2)</f>
        <v>#N/A</v>
      </c>
      <c r="D574" s="26" t="e">
        <f>+VLOOKUP(tblKeluar[[#This Row],[Kode Barang]],tblKatalog[],3)</f>
        <v>#N/A</v>
      </c>
      <c r="E574" s="1"/>
      <c r="F574" s="27"/>
      <c r="G574" s="27"/>
    </row>
    <row r="575" spans="1:7" x14ac:dyDescent="0.25">
      <c r="A575" s="21"/>
      <c r="B575" s="1"/>
      <c r="C575" s="13" t="e">
        <f>+VLOOKUP(tblKeluar[[#This Row],[Kode Barang]],tblKatalog[],2)</f>
        <v>#N/A</v>
      </c>
      <c r="D575" s="13" t="e">
        <f>+VLOOKUP(tblKeluar[[#This Row],[Kode Barang]],tblKatalog[],3)</f>
        <v>#N/A</v>
      </c>
      <c r="E575" s="1"/>
      <c r="F575" s="23"/>
      <c r="G575" s="23"/>
    </row>
    <row r="576" spans="1:7" x14ac:dyDescent="0.25">
      <c r="A576" s="21"/>
      <c r="B576" s="1"/>
      <c r="C576" s="13" t="e">
        <f>+VLOOKUP(tblKeluar[[#This Row],[Kode Barang]],tblKatalog[],2)</f>
        <v>#N/A</v>
      </c>
      <c r="D576" s="13" t="e">
        <f>+VLOOKUP(tblKeluar[[#This Row],[Kode Barang]],tblKatalog[],3)</f>
        <v>#N/A</v>
      </c>
      <c r="E576" s="1"/>
      <c r="F576" s="23"/>
      <c r="G576" s="23"/>
    </row>
    <row r="577" spans="1:7" x14ac:dyDescent="0.25">
      <c r="A577" s="21"/>
      <c r="B577" s="1"/>
      <c r="C577" s="13" t="e">
        <f>+VLOOKUP(tblKeluar[[#This Row],[Kode Barang]],tblKatalog[],2)</f>
        <v>#N/A</v>
      </c>
      <c r="D577" s="13" t="e">
        <f>+VLOOKUP(tblKeluar[[#This Row],[Kode Barang]],tblKatalog[],3)</f>
        <v>#N/A</v>
      </c>
      <c r="E577" s="1"/>
      <c r="F577" s="23"/>
      <c r="G577" s="23"/>
    </row>
  </sheetData>
  <mergeCells count="15">
    <mergeCell ref="J168:K168"/>
    <mergeCell ref="J169:K169"/>
    <mergeCell ref="A1:G3"/>
    <mergeCell ref="D5:G5"/>
    <mergeCell ref="J6:L6"/>
    <mergeCell ref="J158:L158"/>
    <mergeCell ref="J159:K159"/>
    <mergeCell ref="J166:K166"/>
    <mergeCell ref="J167:K167"/>
    <mergeCell ref="J160:K160"/>
    <mergeCell ref="J161:K161"/>
    <mergeCell ref="J165:K165"/>
    <mergeCell ref="J162:K162"/>
    <mergeCell ref="J163:K163"/>
    <mergeCell ref="J164:K164"/>
  </mergeCells>
  <pageMargins left="0.7" right="0.7" top="0.75" bottom="0.75" header="0.3" footer="0.3"/>
  <pageSetup scale="65"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Katalog</vt:lpstr>
      <vt:lpstr>Masuk</vt:lpstr>
      <vt:lpstr>Keluar</vt:lpstr>
      <vt:lpstr>Katalog!Print_Area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Krisyanto</dc:creator>
  <cp:lastModifiedBy>HC01</cp:lastModifiedBy>
  <cp:lastPrinted>2026-03-16T05:57:06Z</cp:lastPrinted>
  <dcterms:created xsi:type="dcterms:W3CDTF">2018-08-08T02:35:28Z</dcterms:created>
  <dcterms:modified xsi:type="dcterms:W3CDTF">2026-09-01T08:20:02Z</dcterms:modified>
</cp:coreProperties>
</file>